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eabr\Documents\Capstone\InRoomAirFilterScaleUp\data\"/>
    </mc:Choice>
  </mc:AlternateContent>
  <xr:revisionPtr revIDLastSave="0" documentId="13_ncr:1_{F64C912A-233C-4D1F-80DB-3D74BF85B275}" xr6:coauthVersionLast="47" xr6:coauthVersionMax="47" xr10:uidLastSave="{00000000-0000-0000-0000-000000000000}"/>
  <bookViews>
    <workbookView xWindow="-113" yWindow="-113" windowWidth="29076" windowHeight="18733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2" i="1" l="1"/>
  <c r="D127" i="1"/>
  <c r="D78" i="1"/>
</calcChain>
</file>

<file path=xl/sharedStrings.xml><?xml version="1.0" encoding="utf-8"?>
<sst xmlns="http://schemas.openxmlformats.org/spreadsheetml/2006/main" count="687" uniqueCount="472">
  <si>
    <t>Country Name</t>
  </si>
  <si>
    <t>Country Code</t>
  </si>
  <si>
    <t>Indicator Name</t>
  </si>
  <si>
    <t>All unreferenced entries are sourced from Worldbank: https://data.worldbank.org/indicator/SL.TLF.TOTL.IN</t>
  </si>
  <si>
    <t>Aruba</t>
  </si>
  <si>
    <t>ABW</t>
  </si>
  <si>
    <t>Labor force, total</t>
  </si>
  <si>
    <t>https://cbs.aw/wp/index.php/2025/06/06/labor-force-survey-2024/</t>
  </si>
  <si>
    <t>Afghanistan</t>
  </si>
  <si>
    <t>AFG</t>
  </si>
  <si>
    <t>Angola</t>
  </si>
  <si>
    <t>AGO</t>
  </si>
  <si>
    <t>Albania</t>
  </si>
  <si>
    <t>ALB</t>
  </si>
  <si>
    <t>Andorra</t>
  </si>
  <si>
    <t>AND</t>
  </si>
  <si>
    <t>https://www.andorra-solutions.com/blog/2023/10/17/highest-employment-rate-andorra-last-10-years/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</si>
  <si>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</si>
  <si>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</si>
  <si>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</si>
  <si>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</si>
  <si>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</si>
  <si>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</si>
  <si>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</si>
  <si>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</si>
  <si>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https://www.ilo.org/media/533476/download</t>
  </si>
  <si>
    <t>Antigua and Barbuda</t>
  </si>
  <si>
    <t>ATG</t>
  </si>
  <si>
    <t>https://m.elibrary.imf.org/view/journals/002/2024/022/article-A001-en.xml?</t>
  </si>
  <si>
    <t>Australia</t>
  </si>
  <si>
    <t>AUS</t>
  </si>
  <si>
    <t>Austria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</si>
  <si>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</si>
  <si>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</si>
  <si>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</si>
  <si>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</si>
  <si>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</si>
  <si>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</si>
  <si>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</si>
  <si>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</si>
  <si>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</si>
  <si>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</si>
  <si>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</si>
  <si>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</si>
  <si>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</si>
  <si>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</si>
  <si>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</si>
  <si>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</si>
  <si>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</si>
  <si>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</t>
  </si>
  <si>
    <t>BHS</t>
  </si>
  <si>
    <t>Bosnia and Herzegovina</t>
  </si>
  <si>
    <t>BIH</t>
  </si>
  <si>
    <t>Belarus</t>
  </si>
  <si>
    <t>BLR</t>
  </si>
  <si>
    <t>Belize</t>
  </si>
  <si>
    <t>BLZ</t>
  </si>
  <si>
    <t>Bermuda</t>
  </si>
  <si>
    <t>BMU</t>
  </si>
  <si>
    <t>www.gov.bm/articles/may-2024-labour-force-survey-and-development-and-training-update</t>
  </si>
  <si>
    <t>Bolivia (Plurinational State of)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</si>
  <si>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</si>
  <si>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</si>
  <si>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</si>
  <si>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</si>
  <si>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</si>
  <si>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</si>
  <si>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</si>
  <si>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</si>
  <si>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</si>
  <si>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</si>
  <si>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</si>
  <si>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</si>
  <si>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</si>
  <si>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Canada</t>
  </si>
  <si>
    <t>CAN</t>
  </si>
  <si>
    <t>Switzerland</t>
  </si>
  <si>
    <t>CHE</t>
  </si>
  <si>
    <t>Chile</t>
  </si>
  <si>
    <t>CHL</t>
  </si>
  <si>
    <t>China</t>
  </si>
  <si>
    <t>CHN</t>
  </si>
  <si>
    <t>CIV</t>
  </si>
  <si>
    <t>Cameroon</t>
  </si>
  <si>
    <t>CMR</t>
  </si>
  <si>
    <t>Congo, Democratic Republic of the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</si>
  <si>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</si>
  <si>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</si>
  <si>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</si>
  <si>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</si>
  <si>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</si>
  <si>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</si>
  <si>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</si>
  <si>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</si>
  <si>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</si>
  <si>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</si>
  <si>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</si>
  <si>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Cuba</t>
  </si>
  <si>
    <t>CUB</t>
  </si>
  <si>
    <t>Curacao</t>
  </si>
  <si>
    <t>CUW</t>
  </si>
  <si>
    <t>https://www.cbs.cw/results-labour-force-survey-2024</t>
  </si>
  <si>
    <t>Cayman Islands</t>
  </si>
  <si>
    <t>CYM</t>
  </si>
  <si>
    <t>www.caymaniantimes.ky/index.php/news/labour-force-report-published?</t>
  </si>
  <si>
    <t>Cyprus</t>
  </si>
  <si>
    <t>CYP</t>
  </si>
  <si>
    <t>Czechia</t>
  </si>
  <si>
    <t>CZE</t>
  </si>
  <si>
    <t>Germany</t>
  </si>
  <si>
    <t>DEU</t>
  </si>
  <si>
    <t>Djibouti</t>
  </si>
  <si>
    <t>DJI</t>
  </si>
  <si>
    <t>Dominica</t>
  </si>
  <si>
    <t>DMA</t>
  </si>
  <si>
    <t>(2009, no recent data)</t>
  </si>
  <si>
    <t>investdominica.com/talent/labour-rates/?</t>
  </si>
  <si>
    <t>Denmark</t>
  </si>
  <si>
    <t>DNK</t>
  </si>
  <si>
    <t>Dominican Republic</t>
  </si>
  <si>
    <t>DOM</t>
  </si>
  <si>
    <t>Algeria</t>
  </si>
  <si>
    <t>DZA</t>
  </si>
  <si>
    <t>Ecuador</t>
  </si>
  <si>
    <t>ECU</t>
  </si>
  <si>
    <t>Egypt</t>
  </si>
  <si>
    <t>EGY</t>
  </si>
  <si>
    <t>Eritrea</t>
  </si>
  <si>
    <t>ERI</t>
  </si>
  <si>
    <t>Spain</t>
  </si>
  <si>
    <t>ESP</t>
  </si>
  <si>
    <t>Estonia</t>
  </si>
  <si>
    <t>EST</t>
  </si>
  <si>
    <t>Ethiopia</t>
  </si>
  <si>
    <t>ETH</t>
  </si>
  <si>
    <t>Finland</t>
  </si>
  <si>
    <t>FIN</t>
  </si>
  <si>
    <t>Fiji</t>
  </si>
  <si>
    <t>FJI</t>
  </si>
  <si>
    <t>France</t>
  </si>
  <si>
    <t>FRA</t>
  </si>
  <si>
    <t>Faroe Islands</t>
  </si>
  <si>
    <t>FRO</t>
  </si>
  <si>
    <t>hagstova.fo/en/news/labour-force-declines-slightly</t>
  </si>
  <si>
    <t>Micronesia, Fed. Sts.</t>
  </si>
  <si>
    <t>FSM</t>
  </si>
  <si>
    <t>data.adb.org/dataset/federated-states-micronesia-key-indicators?</t>
  </si>
  <si>
    <t>Gabon</t>
  </si>
  <si>
    <t>GAB</t>
  </si>
  <si>
    <t>United Kingdom of Great Britain</t>
  </si>
  <si>
    <t>GBR</t>
  </si>
  <si>
    <t>Georgia</t>
  </si>
  <si>
    <t>GEO</t>
  </si>
  <si>
    <t>Ghana</t>
  </si>
  <si>
    <t>GHA</t>
  </si>
  <si>
    <t>Gibraltar</t>
  </si>
  <si>
    <t>GIB</t>
  </si>
  <si>
    <t>https://www.gibraltar.gov.gi/uploads/statistics/2024/Reports/Employment%20Survey%20Report%202024.pdf</t>
  </si>
  <si>
    <t>Guinea</t>
  </si>
  <si>
    <t>GIN</t>
  </si>
  <si>
    <t>Gambia</t>
  </si>
  <si>
    <t>GMB</t>
  </si>
  <si>
    <t>Guinea-Bissau</t>
  </si>
  <si>
    <t>GNB</t>
  </si>
  <si>
    <t>Equatorial Guinea</t>
  </si>
  <si>
    <t>GNQ</t>
  </si>
  <si>
    <t>Greece</t>
  </si>
  <si>
    <t>GRC</t>
  </si>
  <si>
    <t>Grenada</t>
  </si>
  <si>
    <t>GRD</t>
  </si>
  <si>
    <t>Late 2023</t>
  </si>
  <si>
    <t>https://stats.gov.gd/subjects/labour-market</t>
  </si>
  <si>
    <t>Greenland</t>
  </si>
  <si>
    <t>GRL</t>
  </si>
  <si>
    <t>https://stat.gl/publ/en/GF/2024/pdf/Greenland%20in%20Figures%202024.pdf</t>
  </si>
  <si>
    <t>Guatemala</t>
  </si>
  <si>
    <t>GTM</t>
  </si>
  <si>
    <t>Guam</t>
  </si>
  <si>
    <t>GUM</t>
  </si>
  <si>
    <t>Guyana</t>
  </si>
  <si>
    <t>GUY</t>
  </si>
  <si>
    <t>Hong Kong SAR, China</t>
  </si>
  <si>
    <t>HKG</t>
  </si>
  <si>
    <t>Honduras</t>
  </si>
  <si>
    <t>HND</t>
  </si>
  <si>
    <t>Croatia</t>
  </si>
  <si>
    <t>HRV</t>
  </si>
  <si>
    <t>Haiti</t>
  </si>
  <si>
    <t>HTI</t>
  </si>
  <si>
    <t>Hungary</t>
  </si>
  <si>
    <t>HUN</t>
  </si>
  <si>
    <t>Indonesia</t>
  </si>
  <si>
    <t>IDN</t>
  </si>
  <si>
    <t>Isle of Man</t>
  </si>
  <si>
    <t>IMN</t>
  </si>
  <si>
    <t>India</t>
  </si>
  <si>
    <t>IND</t>
  </si>
  <si>
    <t>Ireland</t>
  </si>
  <si>
    <t>IRL</t>
  </si>
  <si>
    <t>Iran (Islamic Republic of)</t>
  </si>
  <si>
    <t>IRN</t>
  </si>
  <si>
    <t>Iraq</t>
  </si>
  <si>
    <t>IRQ</t>
  </si>
  <si>
    <t>Iceland</t>
  </si>
  <si>
    <t>ISL</t>
  </si>
  <si>
    <t>Israel</t>
  </si>
  <si>
    <t>ISR</t>
  </si>
  <si>
    <t>Italy</t>
  </si>
  <si>
    <t>ITA</t>
  </si>
  <si>
    <t>Jamaica</t>
  </si>
  <si>
    <t>JAM</t>
  </si>
  <si>
    <t>Jordan</t>
  </si>
  <si>
    <t>JOR</t>
  </si>
  <si>
    <t>Japan</t>
  </si>
  <si>
    <t>JPN</t>
  </si>
  <si>
    <t>Kazakhstan</t>
  </si>
  <si>
    <t>KAZ</t>
  </si>
  <si>
    <t>Kenya</t>
  </si>
  <si>
    <t>KEN</t>
  </si>
  <si>
    <t>Kyrgyzstan</t>
  </si>
  <si>
    <t>KGZ</t>
  </si>
  <si>
    <t>Cambodia</t>
  </si>
  <si>
    <t>KHM</t>
  </si>
  <si>
    <t>Kiribati</t>
  </si>
  <si>
    <t>KIR</t>
  </si>
  <si>
    <t>https://www.mfed.gov.ki/sites/default/files/2025-06/KI%20Labour%202025.pdf?</t>
  </si>
  <si>
    <t>St. Kitts and Nevis</t>
  </si>
  <si>
    <t>KNA</t>
  </si>
  <si>
    <t>https://www.stats.gov.kn/topics/demographic-social-statistics/labour-force/labour-force-participation-rate-by-sex-and-age-group-2013-and-2016</t>
  </si>
  <si>
    <t>Korea, Rep.</t>
  </si>
  <si>
    <t>KOR</t>
  </si>
  <si>
    <t>Kuwait</t>
  </si>
  <si>
    <t>KWT</t>
  </si>
  <si>
    <t>Lao People's Democratic Republic</t>
  </si>
  <si>
    <t>LAO</t>
  </si>
  <si>
    <t>Lebanon</t>
  </si>
  <si>
    <t>LBN</t>
  </si>
  <si>
    <t>https://data.worldbank.org/indicator/SL.TLF.ACTI.ZS?locations=LB</t>
  </si>
  <si>
    <t>Liberia</t>
  </si>
  <si>
    <t>LBR</t>
  </si>
  <si>
    <t>Libya</t>
  </si>
  <si>
    <t>LBY</t>
  </si>
  <si>
    <t>St. Lucia</t>
  </si>
  <si>
    <t>LCA</t>
  </si>
  <si>
    <t>Liechtenstein</t>
  </si>
  <si>
    <t>LIE</t>
  </si>
  <si>
    <t>eures.europa.eu/living-and-working/labour-market-information-europe/labour-market-information-liechtenstein-0_en?prefLang=hr</t>
  </si>
  <si>
    <t>Sri Lanka</t>
  </si>
  <si>
    <t>LKA</t>
  </si>
  <si>
    <t>Lesotho</t>
  </si>
  <si>
    <t>LSO</t>
  </si>
  <si>
    <t>Lithuania</t>
  </si>
  <si>
    <t>LTU</t>
  </si>
  <si>
    <t>Luxembourg</t>
  </si>
  <si>
    <t>LUX</t>
  </si>
  <si>
    <t>Latvia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</si>
  <si>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</si>
  <si>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</si>
  <si>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</si>
  <si>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</si>
  <si>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</si>
  <si>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</si>
  <si>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</si>
  <si>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</si>
  <si>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</si>
  <si>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https://www.monacostatistics.mc/News/Employment-Observatory-2024</t>
  </si>
  <si>
    <t>Moldova</t>
  </si>
  <si>
    <t>MDA</t>
  </si>
  <si>
    <t>Madagascar</t>
  </si>
  <si>
    <t>MDG</t>
  </si>
  <si>
    <t>Maldives</t>
  </si>
  <si>
    <t>MDV</t>
  </si>
  <si>
    <t>Mexico</t>
  </si>
  <si>
    <t>MEX</t>
  </si>
  <si>
    <t>Marshall Islands</t>
  </si>
  <si>
    <t>MHL</t>
  </si>
  <si>
    <t>https://www.ilo.org/media/533491/download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</si>
  <si>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</si>
  <si>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</si>
  <si>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</si>
  <si>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</si>
  <si>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</si>
  <si>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</si>
  <si>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</si>
  <si>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</si>
  <si>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Montenegro</t>
  </si>
  <si>
    <t>MNE</t>
  </si>
  <si>
    <t>Mongolia</t>
  </si>
  <si>
    <t>MNG</t>
  </si>
  <si>
    <t>Northern Mariana Islands</t>
  </si>
  <si>
    <t>MNP</t>
  </si>
  <si>
    <t>https://labor.cnmi.gov/storage/2024/07/CNMI-DOL-Workforce-Report-for-Marianas-Islands-Legislature-2024.pdf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</si>
  <si>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</si>
  <si>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</si>
  <si>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</si>
  <si>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</si>
  <si>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</si>
  <si>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</si>
  <si>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</si>
  <si>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</si>
  <si>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</si>
  <si>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</si>
  <si>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</si>
  <si>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</si>
  <si>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</si>
  <si>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</si>
  <si>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</si>
  <si>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</si>
  <si>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</si>
  <si>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</si>
  <si>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</si>
  <si>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</si>
  <si>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Netherlands</t>
  </si>
  <si>
    <t>NLD</t>
  </si>
  <si>
    <t>Norway</t>
  </si>
  <si>
    <t>NOR</t>
  </si>
  <si>
    <t>Nepal</t>
  </si>
  <si>
    <t>NPL</t>
  </si>
  <si>
    <t>Nauru</t>
  </si>
  <si>
    <t>NRU</t>
  </si>
  <si>
    <t>https://data.adb.org/dataset/nauru-key-indicators</t>
  </si>
  <si>
    <t>New Zealand</t>
  </si>
  <si>
    <t>NZL</t>
  </si>
  <si>
    <t>Oman</t>
  </si>
  <si>
    <t>OMN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</si>
  <si>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</si>
  <si>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</si>
  <si>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</si>
  <si>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</si>
  <si>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</si>
  <si>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</si>
  <si>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</si>
  <si>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</si>
  <si>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</si>
  <si>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</si>
  <si>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https://data.worldbank.org/country/palau</t>
  </si>
  <si>
    <t>Papua New Guinea</t>
  </si>
  <si>
    <t>PNG</t>
  </si>
  <si>
    <t>Poland</t>
  </si>
  <si>
    <t>POL</t>
  </si>
  <si>
    <t>Puerto Rico (US)</t>
  </si>
  <si>
    <t>PRI</t>
  </si>
  <si>
    <t>Korea, Dem. People's Rep.</t>
  </si>
  <si>
    <t>PRK</t>
  </si>
  <si>
    <t>Portugal</t>
  </si>
  <si>
    <t>PRT</t>
  </si>
  <si>
    <t>Paraguay</t>
  </si>
  <si>
    <t>PRY</t>
  </si>
  <si>
    <t>PSE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</si>
  <si>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</si>
  <si>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</si>
  <si>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</si>
  <si>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</si>
  <si>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</si>
  <si>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</si>
  <si>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</si>
  <si>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</si>
  <si>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</si>
  <si>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</si>
  <si>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Saudi Arabia</t>
  </si>
  <si>
    <t>SAU</t>
  </si>
  <si>
    <t>Sudan</t>
  </si>
  <si>
    <t>SDN</t>
  </si>
  <si>
    <t>https://www.ceicdata.com/en/indicator/sudan/labour-force-participation-rate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</si>
  <si>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</si>
  <si>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</si>
  <si>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</si>
  <si>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</si>
  <si>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</si>
  <si>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</si>
  <si>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</si>
  <si>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</si>
  <si>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</si>
  <si>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</si>
  <si>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</si>
  <si>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</si>
  <si>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https://www.statistica.sm</t>
  </si>
  <si>
    <t>Somalia</t>
  </si>
  <si>
    <t>SOM</t>
  </si>
  <si>
    <t>Serbia</t>
  </si>
  <si>
    <t>SRB</t>
  </si>
  <si>
    <t>South Sudan</t>
  </si>
  <si>
    <t>SSD</t>
  </si>
  <si>
    <t>https://www.destatis.de/EN/Themes/Countries-Regions/International-Statistics/Country-Profiles/south-sudan.pdf?__blob=publicationFile&amp;v=17</t>
  </si>
  <si>
    <t>Sao Tome and Principe</t>
  </si>
  <si>
    <t>STP</t>
  </si>
  <si>
    <t>Suriname</t>
  </si>
  <si>
    <t>SUR</t>
  </si>
  <si>
    <t>Slovakia</t>
  </si>
  <si>
    <t>SVK</t>
  </si>
  <si>
    <t>Slovenia</t>
  </si>
  <si>
    <t>SVN</t>
  </si>
  <si>
    <t>Sweden</t>
  </si>
  <si>
    <t>SWE</t>
  </si>
  <si>
    <t>Eswatini</t>
  </si>
  <si>
    <t>SWZ</t>
  </si>
  <si>
    <t>Sint Maarten (Dutch part)</t>
  </si>
  <si>
    <t>SXM</t>
  </si>
  <si>
    <t>Seychelles</t>
  </si>
  <si>
    <t>SYC</t>
  </si>
  <si>
    <r>
      <rPr>
        <u/>
        <sz val="10"/>
        <color rgb="FF1155CC"/>
        <rFont val="Arial"/>
      </rPr>
      <t>Seychelles Unemployment Rate</t>
    </r>
  </si>
  <si>
    <t>Syrian Arab Republic</t>
  </si>
  <si>
    <t>SYR</t>
  </si>
  <si>
    <t>Turks and Caicos Islands</t>
  </si>
  <si>
    <t>TCA</t>
  </si>
  <si>
    <t>https://data.worldbank.org/country/turks-and-caicos-islands?utm_source=chatgpt.com</t>
  </si>
  <si>
    <t>Chad</t>
  </si>
  <si>
    <t>TCD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</si>
  <si>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</si>
  <si>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</si>
  <si>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</si>
  <si>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</si>
  <si>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</si>
  <si>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</si>
  <si>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</si>
  <si>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</si>
  <si>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Timor-Leste</t>
  </si>
  <si>
    <t>TLS</t>
  </si>
  <si>
    <t>Tonga</t>
  </si>
  <si>
    <t>TON</t>
  </si>
  <si>
    <t>Trinidad and Tobago</t>
  </si>
  <si>
    <t>TTO</t>
  </si>
  <si>
    <t>Tunisia</t>
  </si>
  <si>
    <t>TUN</t>
  </si>
  <si>
    <t>TUR</t>
  </si>
  <si>
    <t>Tuvalu</t>
  </si>
  <si>
    <t>TUV</t>
  </si>
  <si>
    <t>https://data.worldbank.org/indicator/SP.POP.TOTL?locations=TV&amp;most_recent_value_desc=false</t>
  </si>
  <si>
    <t>Tanzania, United Republic of</t>
  </si>
  <si>
    <t>TZA</t>
  </si>
  <si>
    <t>Uganda</t>
  </si>
  <si>
    <t>UGA</t>
  </si>
  <si>
    <t>Ukraine</t>
  </si>
  <si>
    <t>UKR</t>
  </si>
  <si>
    <t>https://www.globaldata.com/data-insights/macroeconomic/the-labor-force-participation-rate-of-ukraine-472846</t>
  </si>
  <si>
    <t>Uruguay</t>
  </si>
  <si>
    <t>URY</t>
  </si>
  <si>
    <t>United States of America</t>
  </si>
  <si>
    <t>USA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</si>
  <si>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</si>
  <si>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</si>
  <si>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</si>
  <si>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</si>
  <si>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</si>
  <si>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</si>
  <si>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</si>
  <si>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</si>
  <si>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https://bvi.gov.vg/sites/default/files/2022_2024_macro_economic_review_and_outlook_final.pdf</t>
  </si>
  <si>
    <t>Virgin Islands (U.S.)</t>
  </si>
  <si>
    <t>VIR</t>
  </si>
  <si>
    <t>Viet Nam</t>
  </si>
  <si>
    <t>VNM</t>
  </si>
  <si>
    <t>Vanuatu</t>
  </si>
  <si>
    <t>VUT</t>
  </si>
  <si>
    <t>Samoa</t>
  </si>
  <si>
    <t>WSM</t>
  </si>
  <si>
    <t>Kosovo</t>
  </si>
  <si>
    <t>XKX</t>
  </si>
  <si>
    <t>musineinstitute.org/en/fewer-employed-less-active-kosovo-loses-nearly-100000-people-from-its-workforce-women-and-youth-most-affected/</t>
  </si>
  <si>
    <t>Yemen, Rep.</t>
  </si>
  <si>
    <t>YEM</t>
  </si>
  <si>
    <t>South Africa</t>
  </si>
  <si>
    <t>ZAF</t>
  </si>
  <si>
    <t>Zambia</t>
  </si>
  <si>
    <t>ZMB</t>
  </si>
  <si>
    <t>Zimbabwe</t>
  </si>
  <si>
    <t>ZWE</t>
  </si>
  <si>
    <t>chrome-extension://efaidnbmnnnibpcajpcglclefindmkaj/https://www.gov.im/media/1384637/isle-of-man-in-numbers-2024_compressed.pdf</t>
  </si>
  <si>
    <t>Labour Force (2024)</t>
  </si>
  <si>
    <t>Cote d'Ivoire</t>
  </si>
  <si>
    <t>Turkiye</t>
  </si>
  <si>
    <t>State of Palestine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</si>
</sst>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>
    <font>
      <sz val="10"/>
      <color rgb="FF000000"/>
      <name val="Arial"/>
      <scheme val="minor"/>
    </font>
    <font>
      <sz val="11"/>
      <color rgb="FF000000"/>
      <name val="&quot;Aptos Narrow&quot;"/>
    </font>
    <font>
      <sz val="11"/>
      <color rgb="FF000000"/>
      <name val="Arial"/>
    </font>
    <font>
      <u/>
      <sz val="11"/>
      <color rgb="FF000000"/>
      <name val="&quot;Aptos Narrow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theme="1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sz val="10"/>
      <color rgb="FF00000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3" fillId="0" borderId="0" xfId="0" applyFont="1"/>
    <xf numFmtId="11" fontId="2" fillId="0" borderId="0" xfId="0" applyNumberFormat="1" applyFont="1"/>
    <xf numFmtId="0" fontId="4" fillId="0" borderId="0" xfId="0" applyFont="1"/>
    <xf numFmtId="11" fontId="1" fillId="0" borderId="0" xfId="0" applyNumberFormat="1" applyFont="1" applyAlignment="1">
      <alignment horizontal="right"/>
    </xf>
    <xf numFmtId="0" fontId="5" fillId="0" borderId="0" xfId="0" applyFont="1"/>
    <xf numFmtId="11" fontId="6" fillId="0" borderId="0" xfId="0" applyNumberFormat="1" applyFont="1"/>
    <xf numFmtId="11" fontId="1" fillId="0" borderId="0" xfId="0" applyNumberFormat="1" applyFont="1"/>
    <xf numFmtId="0" fontId="7" fillId="0" borderId="0" xfId="0" applyFont="1"/>
    <xf numFmtId="11" fontId="7" fillId="0" borderId="0" xfId="0" applyNumberFormat="1" applyFont="1"/>
    <xf numFmtId="11" fontId="1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investdominica.com/talent/labour-rates/?" TargetMode="External"/><Relationship Id="rId13" Type="http://schemas.openxmlformats.org/officeDocument/2006/relationships/hyperlink" Target="https://stat.gl/publ/en/GF/2024/pdf/Greenland%20in%20Figures%202024.pdf" TargetMode="External"/><Relationship Id="rId18" Type="http://schemas.openxmlformats.org/officeDocument/2006/relationships/hyperlink" Target="https://www.ilo.org/media/533491/download?utm_source=chatgpt.com" TargetMode="External"/><Relationship Id="rId26" Type="http://schemas.openxmlformats.org/officeDocument/2006/relationships/hyperlink" Target="https://data.worldbank.org/country/turks-and-caicos-islands?utm_source=chatgpt.com" TargetMode="External"/><Relationship Id="rId3" Type="http://schemas.openxmlformats.org/officeDocument/2006/relationships/hyperlink" Target="https://www.ilo.org/media/533476/download" TargetMode="External"/><Relationship Id="rId21" Type="http://schemas.openxmlformats.org/officeDocument/2006/relationships/hyperlink" Target="https://data.worldbank.org/country/palau" TargetMode="External"/><Relationship Id="rId7" Type="http://schemas.openxmlformats.org/officeDocument/2006/relationships/hyperlink" Target="http://www.caymaniantimes.ky/index.php/news/labour-force-report-published?" TargetMode="External"/><Relationship Id="rId12" Type="http://schemas.openxmlformats.org/officeDocument/2006/relationships/hyperlink" Target="https://stats.gov.gd/subjects/labour-market" TargetMode="External"/><Relationship Id="rId17" Type="http://schemas.openxmlformats.org/officeDocument/2006/relationships/hyperlink" Target="https://www.monacostatistics.mc/News/Employment-Observatory-2024?utm_source=chatgpt.com" TargetMode="External"/><Relationship Id="rId25" Type="http://schemas.openxmlformats.org/officeDocument/2006/relationships/hyperlink" Target="https://tradingeconomics.com/seychelles/unemployment-rate" TargetMode="External"/><Relationship Id="rId2" Type="http://schemas.openxmlformats.org/officeDocument/2006/relationships/hyperlink" Target="https://www.andorra-solutions.com/blog/2023/10/17/highest-employment-rate-andorra-last-10-years/?utm_source=chatgpt.com" TargetMode="External"/><Relationship Id="rId16" Type="http://schemas.openxmlformats.org/officeDocument/2006/relationships/hyperlink" Target="https://data.worldbank.org/indicator/SL.TLF.ACTI.ZS?locations=LB" TargetMode="External"/><Relationship Id="rId20" Type="http://schemas.openxmlformats.org/officeDocument/2006/relationships/hyperlink" Target="https://data.adb.org/dataset/nauru-key-indicators?utm_source=chatgpt.com" TargetMode="External"/><Relationship Id="rId29" Type="http://schemas.openxmlformats.org/officeDocument/2006/relationships/hyperlink" Target="https://bvi.gov.vg/sites/default/files/2022_2024_macro_economic_review_and_outlook_final.pdf" TargetMode="External"/><Relationship Id="rId1" Type="http://schemas.openxmlformats.org/officeDocument/2006/relationships/hyperlink" Target="https://cbs.aw/wp/index.php/2025/06/06/labor-force-survey-2024/" TargetMode="External"/><Relationship Id="rId6" Type="http://schemas.openxmlformats.org/officeDocument/2006/relationships/hyperlink" Target="https://www.cbs.cw/results-labour-force-survey-2024?utm_source=chatgpt.com" TargetMode="External"/><Relationship Id="rId11" Type="http://schemas.openxmlformats.org/officeDocument/2006/relationships/hyperlink" Target="https://www.gibraltar.gov.gi/uploads/statistics/2024/Reports/Employment%20Survey%20Report%202024.pdf" TargetMode="External"/><Relationship Id="rId24" Type="http://schemas.openxmlformats.org/officeDocument/2006/relationships/hyperlink" Target="https://www.destatis.de/EN/Themes/Countries-Regions/International-Statistics/Country-Profiles/south-sudan.pdf?__blob=publicationFile&amp;v=17" TargetMode="External"/><Relationship Id="rId5" Type="http://schemas.openxmlformats.org/officeDocument/2006/relationships/hyperlink" Target="http://www.gov.bm/articles/may-2024-labour-force-survey-and-development-and-training-update" TargetMode="External"/><Relationship Id="rId15" Type="http://schemas.openxmlformats.org/officeDocument/2006/relationships/hyperlink" Target="https://www.stats.gov.kn/topics/demographic-social-statistics/labour-force/labour-force-participation-rate-by-sex-and-age-group-2013-and-2016" TargetMode="External"/><Relationship Id="rId23" Type="http://schemas.openxmlformats.org/officeDocument/2006/relationships/hyperlink" Target="https://www.statistica.sm/" TargetMode="External"/><Relationship Id="rId28" Type="http://schemas.openxmlformats.org/officeDocument/2006/relationships/hyperlink" Target="https://www.globaldata.com/data-insights/macroeconomic/the-labor-force-participation-rate-of-ukraine-472846" TargetMode="External"/><Relationship Id="rId10" Type="http://schemas.openxmlformats.org/officeDocument/2006/relationships/hyperlink" Target="http://data.adb.org/dataset/federated-states-micronesia-key-indicators?" TargetMode="External"/><Relationship Id="rId19" Type="http://schemas.openxmlformats.org/officeDocument/2006/relationships/hyperlink" Target="https://labor.cnmi.gov/storage/2024/07/CNMI-DOL-Workforce-Report-for-Marianas-Islands-Legislature-2024.pdf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m.elibrary.imf.org/view/journals/002/2024/022/article-A001-en.xml?" TargetMode="External"/><Relationship Id="rId9" Type="http://schemas.openxmlformats.org/officeDocument/2006/relationships/hyperlink" Target="http://hagstova.fo/en/news/labour-force-declines-slightly" TargetMode="External"/><Relationship Id="rId14" Type="http://schemas.openxmlformats.org/officeDocument/2006/relationships/hyperlink" Target="https://www.mfed.gov.ki/sites/default/files/2025-06/KI%20Labour%202025.pdf?" TargetMode="External"/><Relationship Id="rId22" Type="http://schemas.openxmlformats.org/officeDocument/2006/relationships/hyperlink" Target="https://www.ceicdata.com/en/indicator/sudan/labour-force-participation-rate" TargetMode="External"/><Relationship Id="rId27" Type="http://schemas.openxmlformats.org/officeDocument/2006/relationships/hyperlink" Target="https://data.worldbank.org/indicator/SP.POP.TOTL?locations=TV&amp;most_recent_value_desc=false" TargetMode="External"/><Relationship Id="rId30" Type="http://schemas.openxmlformats.org/officeDocument/2006/relationships/hyperlink" Target="http://musineinstitute.org/en/fewer-employed-less-active-kosovo-loses-nearly-100000-people-from-its-workforce-women-and-youth-most-affecte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19"/>
  <sheetViews>
    <sheetView tabSelected="1" topLeftCell="A144" zoomScale="118" zoomScaleNormal="100" workbookViewId="0">
      <selection activeCell="F15" sqref="F15"/>
    </sheetView>
  </sheetViews>
  <sheetFormatPr defaultColWidth="12.6640625" defaultRowHeight="15.85" customHeight="1"/>
  <cols>
    <col min="1" max="1" width="25.109375" customWidth="1"/>
    <col min="2" max="2" width="12.6640625" customWidth="1"/>
    <col min="3" max="3" width="17" customWidth="1"/>
    <col min="4" max="4" width="19.44140625" bestFit="1" customWidth="1"/>
  </cols>
  <sheetData>
    <row r="1" spans="1:6" ht="14.4">
      <c r="A1" s="1" t="s">
        <v>0</v>
      </c>
      <c r="B1" s="1" t="s">
        <v>1</v>
      </c>
      <c r="C1" s="1" t="s">
        <v>2</v>
      </c>
      <c r="D1" s="2" t="s">
        <v>468</v>
      </c>
      <c r="F1" s="3" t="s">
        <v>3</v>
      </c>
    </row>
    <row r="2" spans="1:6" ht="14.4">
      <c r="A2" s="1" t="s">
        <v>4</v>
      </c>
      <c r="B2" s="1" t="s">
        <v>5</v>
      </c>
      <c r="C2" s="1" t="s">
        <v>6</v>
      </c>
      <c r="D2" s="5">
        <v>55826</v>
      </c>
      <c r="E2" s="1"/>
      <c r="F2" s="6" t="s">
        <v>7</v>
      </c>
    </row>
    <row r="3" spans="1:6" ht="14.4">
      <c r="A3" s="1" t="s">
        <v>8</v>
      </c>
      <c r="B3" s="1" t="s">
        <v>9</v>
      </c>
      <c r="C3" s="1" t="s">
        <v>6</v>
      </c>
      <c r="D3" s="7">
        <v>9130000</v>
      </c>
      <c r="E3" s="1"/>
    </row>
    <row r="4" spans="1:6" ht="14.4">
      <c r="A4" s="1" t="s">
        <v>10</v>
      </c>
      <c r="B4" s="1" t="s">
        <v>11</v>
      </c>
      <c r="C4" s="1" t="s">
        <v>6</v>
      </c>
      <c r="D4" s="7">
        <v>16000000</v>
      </c>
      <c r="E4" s="1"/>
    </row>
    <row r="5" spans="1:6" ht="14.4">
      <c r="A5" s="1" t="s">
        <v>12</v>
      </c>
      <c r="B5" s="1" t="s">
        <v>13</v>
      </c>
      <c r="C5" s="1" t="s">
        <v>6</v>
      </c>
      <c r="D5" s="7">
        <v>1370000</v>
      </c>
      <c r="E5" s="1"/>
    </row>
    <row r="6" spans="1:6" ht="14.4">
      <c r="A6" s="1" t="s">
        <v>14</v>
      </c>
      <c r="B6" s="1" t="s">
        <v>15</v>
      </c>
      <c r="C6" s="1" t="s">
        <v>6</v>
      </c>
      <c r="D6" s="5">
        <v>50504</v>
      </c>
      <c r="E6" s="1"/>
      <c r="F6" s="8" t="s">
        <v>16</v>
      </c>
    </row>
    <row r="7" spans="1:6" ht="14.4">
      <c r="A7" s="1" t="s">
        <v>17</v>
      </c>
      <c r="B7" s="1" t="s">
        <v>18</v>
      </c>
      <c r="C7" s="1" t="s">
        <v>6</v>
      </c>
      <c r="D7" s="7">
        <v>7090000</v>
      </c>
      <c r="E7" s="1"/>
    </row>
    <row r="8" spans="1:6" ht="14.4">
      <c r="A8" s="1" t="s">
        <v>19</v>
      </c>
      <c r="B8" s="1" t="s">
        <v>20</v>
      </c>
      <c r="C8" s="1" t="s">
        <v>6</v>
      </c>
      <c r="D8" s="7">
        <v>22300000</v>
      </c>
      <c r="E8" s="1"/>
    </row>
    <row r="9" spans="1:6" ht="14.4">
      <c r="A9" s="1" t="s">
        <v>21</v>
      </c>
      <c r="B9" s="1" t="s">
        <v>22</v>
      </c>
      <c r="C9" s="1" t="s">
        <v>6</v>
      </c>
      <c r="D9" s="7">
        <v>1510000</v>
      </c>
      <c r="E9" s="1"/>
    </row>
    <row r="10" spans="1:6" ht="14.4">
      <c r="A10" s="1" t="s">
        <v>23</v>
      </c>
      <c r="B10" s="1" t="s">
        <v>24</v>
      </c>
      <c r="C10" s="1" t="s">
        <v>6</v>
      </c>
      <c r="D10" s="5">
        <v>55958</v>
      </c>
      <c r="F10" s="6" t="s">
        <v>25</v>
      </c>
    </row>
    <row r="11" spans="1:6" ht="14.4">
      <c r="A11" s="1" t="s">
        <v>26</v>
      </c>
      <c r="B11" s="1" t="s">
        <v>27</v>
      </c>
      <c r="C11" s="1" t="s">
        <v>6</v>
      </c>
      <c r="D11" s="5">
        <v>46540</v>
      </c>
      <c r="E11" s="3">
        <v>2023</v>
      </c>
      <c r="F11" s="6" t="s">
        <v>28</v>
      </c>
    </row>
    <row r="12" spans="1:6" ht="14.4">
      <c r="A12" s="1" t="s">
        <v>29</v>
      </c>
      <c r="B12" s="1" t="s">
        <v>30</v>
      </c>
      <c r="C12" s="1" t="s">
        <v>6</v>
      </c>
      <c r="D12" s="7">
        <v>14900000</v>
      </c>
      <c r="E12" s="1"/>
    </row>
    <row r="13" spans="1:6" ht="14.4">
      <c r="A13" s="1" t="s">
        <v>31</v>
      </c>
      <c r="B13" s="1" t="s">
        <v>32</v>
      </c>
      <c r="C13" s="1" t="s">
        <v>6</v>
      </c>
      <c r="D13" s="7">
        <v>4770000</v>
      </c>
      <c r="E13" s="1"/>
    </row>
    <row r="14" spans="1:6" ht="14.4">
      <c r="A14" s="1" t="s">
        <v>33</v>
      </c>
      <c r="B14" s="1" t="s">
        <v>34</v>
      </c>
      <c r="C14" s="1" t="s">
        <v>6</v>
      </c>
      <c r="D14" s="7">
        <v>5020000</v>
      </c>
      <c r="E14" s="1"/>
    </row>
    <row r="15" spans="1:6" ht="14.4">
      <c r="A15" s="1" t="s">
        <v>35</v>
      </c>
      <c r="B15" s="1" t="s">
        <v>36</v>
      </c>
      <c r="C15" s="1" t="s">
        <v>6</v>
      </c>
      <c r="D15" s="7">
        <v>6110000</v>
      </c>
      <c r="E15" s="1"/>
    </row>
    <row r="16" spans="1:6" ht="14.4">
      <c r="A16" s="1" t="s">
        <v>37</v>
      </c>
      <c r="B16" s="1" t="s">
        <v>38</v>
      </c>
      <c r="C16" s="1" t="s">
        <v>6</v>
      </c>
      <c r="D16" s="7">
        <v>5420000</v>
      </c>
      <c r="E16" s="1"/>
    </row>
    <row r="17" spans="1:6" ht="14.4">
      <c r="A17" s="1" t="s">
        <v>39</v>
      </c>
      <c r="B17" s="1" t="s">
        <v>40</v>
      </c>
      <c r="C17" s="1" t="s">
        <v>6</v>
      </c>
      <c r="D17" s="7">
        <v>6400000</v>
      </c>
      <c r="E17" s="1"/>
    </row>
    <row r="18" spans="1:6" ht="14.4">
      <c r="A18" s="1" t="s">
        <v>41</v>
      </c>
      <c r="B18" s="1" t="s">
        <v>42</v>
      </c>
      <c r="C18" s="1" t="s">
        <v>6</v>
      </c>
      <c r="D18" s="7">
        <v>6460000</v>
      </c>
      <c r="E18" s="1"/>
    </row>
    <row r="19" spans="1:6" ht="14.4">
      <c r="A19" s="1" t="s">
        <v>43</v>
      </c>
      <c r="B19" s="1" t="s">
        <v>44</v>
      </c>
      <c r="C19" s="1" t="s">
        <v>6</v>
      </c>
      <c r="D19" s="7">
        <v>77400000</v>
      </c>
      <c r="E19" s="1"/>
    </row>
    <row r="20" spans="1:6" ht="14.4">
      <c r="A20" s="1" t="s">
        <v>45</v>
      </c>
      <c r="B20" s="1" t="s">
        <v>46</v>
      </c>
      <c r="C20" s="1" t="s">
        <v>6</v>
      </c>
      <c r="D20" s="7">
        <v>3120000</v>
      </c>
      <c r="E20" s="1"/>
    </row>
    <row r="21" spans="1:6" ht="14.4">
      <c r="A21" s="1" t="s">
        <v>47</v>
      </c>
      <c r="B21" s="1" t="s">
        <v>48</v>
      </c>
      <c r="C21" s="1" t="s">
        <v>6</v>
      </c>
      <c r="D21" s="7">
        <v>913000</v>
      </c>
      <c r="E21" s="1"/>
    </row>
    <row r="22" spans="1:6" ht="14.4">
      <c r="A22" s="1" t="s">
        <v>49</v>
      </c>
      <c r="B22" s="1" t="s">
        <v>50</v>
      </c>
      <c r="C22" s="1" t="s">
        <v>6</v>
      </c>
      <c r="D22" s="7">
        <v>237000</v>
      </c>
      <c r="E22" s="1"/>
    </row>
    <row r="23" spans="1:6" ht="14.4">
      <c r="A23" s="1" t="s">
        <v>51</v>
      </c>
      <c r="B23" s="1" t="s">
        <v>52</v>
      </c>
      <c r="C23" s="1" t="s">
        <v>6</v>
      </c>
      <c r="D23" s="7">
        <v>1360000</v>
      </c>
      <c r="E23" s="1"/>
    </row>
    <row r="24" spans="1:6" ht="14.4">
      <c r="A24" s="1" t="s">
        <v>53</v>
      </c>
      <c r="B24" s="1" t="s">
        <v>54</v>
      </c>
      <c r="C24" s="1" t="s">
        <v>6</v>
      </c>
      <c r="D24" s="7">
        <v>4820000</v>
      </c>
      <c r="E24" s="1"/>
    </row>
    <row r="25" spans="1:6" ht="14.4">
      <c r="A25" s="1" t="s">
        <v>55</v>
      </c>
      <c r="B25" s="1" t="s">
        <v>56</v>
      </c>
      <c r="C25" s="1" t="s">
        <v>6</v>
      </c>
      <c r="D25" s="7">
        <v>190000</v>
      </c>
      <c r="E25" s="1"/>
    </row>
    <row r="26" spans="1:6" ht="14.4">
      <c r="A26" s="1" t="s">
        <v>57</v>
      </c>
      <c r="B26" s="1" t="s">
        <v>58</v>
      </c>
      <c r="C26" s="1" t="s">
        <v>6</v>
      </c>
      <c r="D26" s="5">
        <v>52878</v>
      </c>
      <c r="F26" s="4" t="s">
        <v>59</v>
      </c>
    </row>
    <row r="27" spans="1:6" ht="14.4">
      <c r="A27" s="1" t="s">
        <v>60</v>
      </c>
      <c r="B27" s="1" t="s">
        <v>61</v>
      </c>
      <c r="C27" s="1" t="s">
        <v>6</v>
      </c>
      <c r="D27" s="7">
        <v>6860000</v>
      </c>
      <c r="E27" s="1"/>
    </row>
    <row r="28" spans="1:6" ht="14.4">
      <c r="A28" s="1" t="s">
        <v>62</v>
      </c>
      <c r="B28" s="1" t="s">
        <v>63</v>
      </c>
      <c r="C28" s="1" t="s">
        <v>6</v>
      </c>
      <c r="D28" s="7">
        <v>107000000</v>
      </c>
      <c r="E28" s="1"/>
    </row>
    <row r="29" spans="1:6" ht="14.4">
      <c r="A29" s="1" t="s">
        <v>64</v>
      </c>
      <c r="B29" s="1" t="s">
        <v>65</v>
      </c>
      <c r="C29" s="1" t="s">
        <v>6</v>
      </c>
      <c r="D29" s="7">
        <v>147000</v>
      </c>
      <c r="E29" s="1"/>
    </row>
    <row r="30" spans="1:6" ht="14.4">
      <c r="A30" s="1" t="s">
        <v>66</v>
      </c>
      <c r="B30" s="1" t="s">
        <v>67</v>
      </c>
      <c r="C30" s="1" t="s">
        <v>6</v>
      </c>
      <c r="D30" s="7">
        <v>234000</v>
      </c>
      <c r="E30" s="1"/>
    </row>
    <row r="31" spans="1:6" ht="14.4">
      <c r="A31" s="1" t="s">
        <v>68</v>
      </c>
      <c r="B31" s="1" t="s">
        <v>69</v>
      </c>
      <c r="C31" s="1" t="s">
        <v>6</v>
      </c>
      <c r="D31" s="7">
        <v>406000</v>
      </c>
      <c r="E31" s="1"/>
    </row>
    <row r="32" spans="1:6" ht="14.4">
      <c r="A32" s="1" t="s">
        <v>70</v>
      </c>
      <c r="B32" s="1" t="s">
        <v>71</v>
      </c>
      <c r="C32" s="1" t="s">
        <v>6</v>
      </c>
      <c r="D32" s="7">
        <v>1170000</v>
      </c>
      <c r="E32" s="1"/>
    </row>
    <row r="33" spans="1:6" ht="14.4">
      <c r="A33" s="1" t="s">
        <v>72</v>
      </c>
      <c r="B33" s="1" t="s">
        <v>73</v>
      </c>
      <c r="C33" s="1" t="s">
        <v>6</v>
      </c>
      <c r="D33" s="7">
        <v>2000000</v>
      </c>
      <c r="E33" s="1"/>
    </row>
    <row r="34" spans="1:6" ht="14.4">
      <c r="A34" s="1" t="s">
        <v>74</v>
      </c>
      <c r="B34" s="1" t="s">
        <v>75</v>
      </c>
      <c r="C34" s="1" t="s">
        <v>6</v>
      </c>
      <c r="D34" s="7">
        <v>22900000</v>
      </c>
      <c r="E34" s="1"/>
    </row>
    <row r="35" spans="1:6" ht="14.4">
      <c r="A35" s="1" t="s">
        <v>76</v>
      </c>
      <c r="B35" s="1" t="s">
        <v>77</v>
      </c>
      <c r="C35" s="1" t="s">
        <v>6</v>
      </c>
      <c r="D35" s="7">
        <v>5150000</v>
      </c>
      <c r="E35" s="1"/>
    </row>
    <row r="36" spans="1:6" ht="14.4">
      <c r="A36" s="1" t="s">
        <v>78</v>
      </c>
      <c r="B36" s="1" t="s">
        <v>79</v>
      </c>
      <c r="C36" s="1" t="s">
        <v>6</v>
      </c>
      <c r="D36" s="7">
        <v>10100000</v>
      </c>
      <c r="E36" s="1"/>
    </row>
    <row r="37" spans="1:6" ht="14.4">
      <c r="A37" s="1" t="s">
        <v>80</v>
      </c>
      <c r="B37" s="1" t="s">
        <v>81</v>
      </c>
      <c r="C37" s="1" t="s">
        <v>6</v>
      </c>
      <c r="D37" s="7">
        <v>774000000</v>
      </c>
      <c r="E37" s="1"/>
    </row>
    <row r="38" spans="1:6" ht="14.4">
      <c r="A38" s="1" t="s">
        <v>469</v>
      </c>
      <c r="B38" s="1" t="s">
        <v>82</v>
      </c>
      <c r="C38" s="1" t="s">
        <v>6</v>
      </c>
      <c r="D38" s="7">
        <v>12600000</v>
      </c>
      <c r="E38" s="1"/>
    </row>
    <row r="39" spans="1:6" ht="14.4">
      <c r="A39" s="1" t="s">
        <v>83</v>
      </c>
      <c r="B39" s="1" t="s">
        <v>84</v>
      </c>
      <c r="C39" s="1" t="s">
        <v>6</v>
      </c>
      <c r="D39" s="7">
        <v>11100000</v>
      </c>
      <c r="E39" s="1"/>
    </row>
    <row r="40" spans="1:6" ht="14.4">
      <c r="A40" s="1" t="s">
        <v>85</v>
      </c>
      <c r="B40" s="1" t="s">
        <v>86</v>
      </c>
      <c r="C40" s="1" t="s">
        <v>6</v>
      </c>
      <c r="D40" s="7">
        <v>38500000</v>
      </c>
      <c r="E40" s="1"/>
    </row>
    <row r="41" spans="1:6" ht="14.4">
      <c r="A41" s="1" t="s">
        <v>87</v>
      </c>
      <c r="B41" s="1" t="s">
        <v>88</v>
      </c>
      <c r="C41" s="1" t="s">
        <v>6</v>
      </c>
      <c r="D41" s="7">
        <v>2560000</v>
      </c>
      <c r="E41" s="1"/>
    </row>
    <row r="42" spans="1:6" ht="14.4">
      <c r="A42" s="1" t="s">
        <v>89</v>
      </c>
      <c r="B42" s="1" t="s">
        <v>90</v>
      </c>
      <c r="C42" s="1" t="s">
        <v>6</v>
      </c>
      <c r="D42" s="7">
        <v>26800000</v>
      </c>
      <c r="E42" s="1"/>
    </row>
    <row r="43" spans="1:6" ht="14.4">
      <c r="A43" s="1" t="s">
        <v>91</v>
      </c>
      <c r="B43" s="1" t="s">
        <v>92</v>
      </c>
      <c r="C43" s="1" t="s">
        <v>6</v>
      </c>
      <c r="D43" s="7">
        <v>276000</v>
      </c>
      <c r="E43" s="1"/>
    </row>
    <row r="44" spans="1:6" ht="14.4">
      <c r="A44" s="1" t="s">
        <v>93</v>
      </c>
      <c r="B44" s="1" t="s">
        <v>94</v>
      </c>
      <c r="C44" s="1" t="s">
        <v>6</v>
      </c>
      <c r="D44" s="7">
        <v>224000</v>
      </c>
      <c r="E44" s="1"/>
    </row>
    <row r="45" spans="1:6" ht="14.4">
      <c r="A45" s="1" t="s">
        <v>95</v>
      </c>
      <c r="B45" s="1" t="s">
        <v>96</v>
      </c>
      <c r="C45" s="1" t="s">
        <v>6</v>
      </c>
      <c r="D45" s="7">
        <v>2360000</v>
      </c>
      <c r="E45" s="1"/>
    </row>
    <row r="46" spans="1:6" ht="14.4">
      <c r="A46" s="1" t="s">
        <v>97</v>
      </c>
      <c r="B46" s="1" t="s">
        <v>98</v>
      </c>
      <c r="C46" s="1" t="s">
        <v>6</v>
      </c>
      <c r="D46" s="7">
        <v>4860000</v>
      </c>
      <c r="E46" s="1"/>
    </row>
    <row r="47" spans="1:6" ht="14.4">
      <c r="A47" s="1" t="s">
        <v>99</v>
      </c>
      <c r="B47" s="1" t="s">
        <v>100</v>
      </c>
      <c r="C47" s="1" t="s">
        <v>6</v>
      </c>
      <c r="D47" s="5">
        <v>71999</v>
      </c>
      <c r="E47" s="1"/>
      <c r="F47" s="8" t="s">
        <v>101</v>
      </c>
    </row>
    <row r="48" spans="1:6" ht="14.4">
      <c r="A48" s="1" t="s">
        <v>102</v>
      </c>
      <c r="B48" s="1" t="s">
        <v>103</v>
      </c>
      <c r="C48" s="1" t="s">
        <v>6</v>
      </c>
      <c r="D48" s="5">
        <v>60828</v>
      </c>
      <c r="E48" s="1"/>
      <c r="F48" s="6" t="s">
        <v>104</v>
      </c>
    </row>
    <row r="49" spans="1:6" ht="14.4">
      <c r="A49" s="1" t="s">
        <v>105</v>
      </c>
      <c r="B49" s="1" t="s">
        <v>106</v>
      </c>
      <c r="C49" s="1" t="s">
        <v>6</v>
      </c>
      <c r="D49" s="7">
        <v>772000</v>
      </c>
      <c r="E49" s="1"/>
    </row>
    <row r="50" spans="1:6" ht="14.4">
      <c r="A50" s="1" t="s">
        <v>107</v>
      </c>
      <c r="B50" s="1" t="s">
        <v>108</v>
      </c>
      <c r="C50" s="1" t="s">
        <v>6</v>
      </c>
      <c r="D50" s="7">
        <v>5540000</v>
      </c>
      <c r="E50" s="1"/>
    </row>
    <row r="51" spans="1:6" ht="14.4">
      <c r="A51" s="1" t="s">
        <v>109</v>
      </c>
      <c r="B51" s="1" t="s">
        <v>110</v>
      </c>
      <c r="C51" s="1" t="s">
        <v>6</v>
      </c>
      <c r="D51" s="7">
        <v>43800000</v>
      </c>
      <c r="E51" s="1"/>
    </row>
    <row r="52" spans="1:6" ht="14.4">
      <c r="A52" s="1" t="s">
        <v>111</v>
      </c>
      <c r="B52" s="1" t="s">
        <v>112</v>
      </c>
      <c r="C52" s="1" t="s">
        <v>6</v>
      </c>
      <c r="D52" s="7">
        <v>265000</v>
      </c>
      <c r="E52" s="1"/>
    </row>
    <row r="53" spans="1:6" ht="14.4">
      <c r="A53" s="1" t="s">
        <v>113</v>
      </c>
      <c r="B53" s="1" t="s">
        <v>114</v>
      </c>
      <c r="C53" s="1" t="s">
        <v>6</v>
      </c>
      <c r="D53" s="5">
        <v>32630</v>
      </c>
      <c r="E53" s="3" t="s">
        <v>115</v>
      </c>
      <c r="F53" s="6" t="s">
        <v>116</v>
      </c>
    </row>
    <row r="54" spans="1:6" ht="14.4">
      <c r="A54" s="1" t="s">
        <v>117</v>
      </c>
      <c r="B54" s="1" t="s">
        <v>118</v>
      </c>
      <c r="C54" s="1" t="s">
        <v>6</v>
      </c>
      <c r="D54" s="7">
        <v>3210000</v>
      </c>
      <c r="E54" s="1"/>
    </row>
    <row r="55" spans="1:6" ht="14.4">
      <c r="A55" s="1" t="s">
        <v>119</v>
      </c>
      <c r="B55" s="1" t="s">
        <v>120</v>
      </c>
      <c r="C55" s="1" t="s">
        <v>6</v>
      </c>
      <c r="D55" s="7">
        <v>5410000</v>
      </c>
      <c r="E55" s="1"/>
    </row>
    <row r="56" spans="1:6" ht="14.4">
      <c r="A56" s="1" t="s">
        <v>121</v>
      </c>
      <c r="B56" s="1" t="s">
        <v>122</v>
      </c>
      <c r="C56" s="1" t="s">
        <v>6</v>
      </c>
      <c r="D56" s="7">
        <v>13300000</v>
      </c>
      <c r="E56" s="1"/>
    </row>
    <row r="57" spans="1:6" ht="14.4">
      <c r="A57" s="1" t="s">
        <v>123</v>
      </c>
      <c r="B57" s="1" t="s">
        <v>124</v>
      </c>
      <c r="C57" s="1" t="s">
        <v>6</v>
      </c>
      <c r="D57" s="7">
        <v>8820000</v>
      </c>
      <c r="E57" s="1"/>
    </row>
    <row r="58" spans="1:6" ht="14.4">
      <c r="A58" s="1" t="s">
        <v>125</v>
      </c>
      <c r="B58" s="1" t="s">
        <v>126</v>
      </c>
      <c r="C58" s="1" t="s">
        <v>6</v>
      </c>
      <c r="D58" s="7">
        <v>33700000</v>
      </c>
      <c r="E58" s="1"/>
    </row>
    <row r="59" spans="1:6" ht="14.4">
      <c r="A59" s="1" t="s">
        <v>127</v>
      </c>
      <c r="B59" s="1" t="s">
        <v>128</v>
      </c>
      <c r="C59" s="1" t="s">
        <v>6</v>
      </c>
      <c r="D59" s="7">
        <v>1710000</v>
      </c>
      <c r="E59" s="1"/>
    </row>
    <row r="60" spans="1:6" ht="14.4">
      <c r="A60" s="1" t="s">
        <v>129</v>
      </c>
      <c r="B60" s="1" t="s">
        <v>130</v>
      </c>
      <c r="C60" s="1" t="s">
        <v>6</v>
      </c>
      <c r="D60" s="7">
        <v>24400000</v>
      </c>
      <c r="E60" s="1"/>
    </row>
    <row r="61" spans="1:6" ht="14.4">
      <c r="A61" s="1" t="s">
        <v>131</v>
      </c>
      <c r="B61" s="1" t="s">
        <v>132</v>
      </c>
      <c r="C61" s="1" t="s">
        <v>6</v>
      </c>
      <c r="D61" s="7">
        <v>756000</v>
      </c>
      <c r="E61" s="1"/>
    </row>
    <row r="62" spans="1:6" ht="14.4">
      <c r="A62" s="1" t="s">
        <v>133</v>
      </c>
      <c r="B62" s="1" t="s">
        <v>134</v>
      </c>
      <c r="C62" s="1" t="s">
        <v>6</v>
      </c>
      <c r="D62" s="7">
        <v>54500000</v>
      </c>
      <c r="E62" s="1"/>
    </row>
    <row r="63" spans="1:6" ht="14.4">
      <c r="A63" s="1" t="s">
        <v>135</v>
      </c>
      <c r="B63" s="1" t="s">
        <v>136</v>
      </c>
      <c r="C63" s="1" t="s">
        <v>6</v>
      </c>
      <c r="D63" s="7">
        <v>2900000</v>
      </c>
      <c r="E63" s="1"/>
    </row>
    <row r="64" spans="1:6" ht="14.4">
      <c r="A64" s="1" t="s">
        <v>137</v>
      </c>
      <c r="B64" s="1" t="s">
        <v>138</v>
      </c>
      <c r="C64" s="1" t="s">
        <v>6</v>
      </c>
      <c r="D64" s="7">
        <v>388000</v>
      </c>
      <c r="E64" s="1"/>
    </row>
    <row r="65" spans="1:6" ht="14.4">
      <c r="A65" s="1" t="s">
        <v>139</v>
      </c>
      <c r="B65" s="1" t="s">
        <v>140</v>
      </c>
      <c r="C65" s="1" t="s">
        <v>6</v>
      </c>
      <c r="D65" s="7">
        <v>31700000</v>
      </c>
      <c r="E65" s="1"/>
    </row>
    <row r="66" spans="1:6" ht="14.4">
      <c r="A66" s="1" t="s">
        <v>141</v>
      </c>
      <c r="B66" s="1" t="s">
        <v>142</v>
      </c>
      <c r="C66" s="1" t="s">
        <v>6</v>
      </c>
      <c r="D66" s="5">
        <v>32200</v>
      </c>
      <c r="E66" s="1"/>
      <c r="F66" s="6" t="s">
        <v>143</v>
      </c>
    </row>
    <row r="67" spans="1:6" ht="14.4">
      <c r="A67" s="1" t="s">
        <v>144</v>
      </c>
      <c r="B67" s="1" t="s">
        <v>145</v>
      </c>
      <c r="C67" s="1" t="s">
        <v>6</v>
      </c>
      <c r="D67" s="5">
        <v>14500</v>
      </c>
      <c r="E67" s="3">
        <v>2022</v>
      </c>
      <c r="F67" s="6" t="s">
        <v>146</v>
      </c>
    </row>
    <row r="68" spans="1:6" ht="14.4">
      <c r="A68" s="1" t="s">
        <v>147</v>
      </c>
      <c r="B68" s="1" t="s">
        <v>148</v>
      </c>
      <c r="C68" s="1" t="s">
        <v>6</v>
      </c>
      <c r="D68" s="7">
        <v>824000</v>
      </c>
      <c r="E68" s="1"/>
    </row>
    <row r="69" spans="1:6" ht="14.4">
      <c r="A69" s="1" t="s">
        <v>149</v>
      </c>
      <c r="B69" s="1" t="s">
        <v>150</v>
      </c>
      <c r="C69" s="1" t="s">
        <v>6</v>
      </c>
      <c r="D69" s="7">
        <v>35400000</v>
      </c>
      <c r="E69" s="1"/>
    </row>
    <row r="70" spans="1:6" ht="14.4">
      <c r="A70" s="1" t="s">
        <v>151</v>
      </c>
      <c r="B70" s="1" t="s">
        <v>152</v>
      </c>
      <c r="C70" s="1" t="s">
        <v>6</v>
      </c>
      <c r="D70" s="7">
        <v>1830000</v>
      </c>
      <c r="E70" s="1"/>
    </row>
    <row r="71" spans="1:6" ht="14.4">
      <c r="A71" s="1" t="s">
        <v>153</v>
      </c>
      <c r="B71" s="1" t="s">
        <v>154</v>
      </c>
      <c r="C71" s="1" t="s">
        <v>6</v>
      </c>
      <c r="D71" s="7">
        <v>13900000</v>
      </c>
      <c r="E71" s="1"/>
    </row>
    <row r="72" spans="1:6" ht="14.4">
      <c r="A72" s="1" t="s">
        <v>155</v>
      </c>
      <c r="B72" s="1" t="s">
        <v>156</v>
      </c>
      <c r="C72" s="1" t="s">
        <v>6</v>
      </c>
      <c r="D72" s="5">
        <v>27000</v>
      </c>
      <c r="E72" s="1"/>
      <c r="F72" s="6" t="s">
        <v>157</v>
      </c>
    </row>
    <row r="73" spans="1:6" ht="14.4">
      <c r="A73" s="1" t="s">
        <v>158</v>
      </c>
      <c r="B73" s="1" t="s">
        <v>159</v>
      </c>
      <c r="C73" s="1" t="s">
        <v>6</v>
      </c>
      <c r="D73" s="7">
        <v>4530000</v>
      </c>
      <c r="E73" s="1"/>
    </row>
    <row r="74" spans="1:6" ht="14.4">
      <c r="A74" s="1" t="s">
        <v>160</v>
      </c>
      <c r="B74" s="1" t="s">
        <v>161</v>
      </c>
      <c r="C74" s="1" t="s">
        <v>6</v>
      </c>
      <c r="D74" s="7">
        <v>783000</v>
      </c>
      <c r="E74" s="1"/>
    </row>
    <row r="75" spans="1:6" ht="14.4">
      <c r="A75" s="1" t="s">
        <v>162</v>
      </c>
      <c r="B75" s="1" t="s">
        <v>163</v>
      </c>
      <c r="C75" s="1" t="s">
        <v>6</v>
      </c>
      <c r="D75" s="7">
        <v>845000</v>
      </c>
      <c r="E75" s="1"/>
    </row>
    <row r="76" spans="1:6" ht="14.4">
      <c r="A76" s="1" t="s">
        <v>164</v>
      </c>
      <c r="B76" s="1" t="s">
        <v>165</v>
      </c>
      <c r="C76" s="1" t="s">
        <v>6</v>
      </c>
      <c r="D76" s="7">
        <v>715000</v>
      </c>
      <c r="E76" s="1"/>
    </row>
    <row r="77" spans="1:6" ht="14.4">
      <c r="A77" s="1" t="s">
        <v>166</v>
      </c>
      <c r="B77" s="1" t="s">
        <v>167</v>
      </c>
      <c r="C77" s="1" t="s">
        <v>6</v>
      </c>
      <c r="D77" s="7">
        <v>4650000</v>
      </c>
      <c r="E77" s="1"/>
    </row>
    <row r="78" spans="1:6" ht="14.4">
      <c r="A78" s="1" t="s">
        <v>168</v>
      </c>
      <c r="B78" s="1" t="s">
        <v>169</v>
      </c>
      <c r="C78" s="1" t="s">
        <v>6</v>
      </c>
      <c r="D78" s="5">
        <f>0.769*0.648*117207</f>
        <v>58405.654584000004</v>
      </c>
      <c r="E78" s="3" t="s">
        <v>170</v>
      </c>
      <c r="F78" s="6" t="s">
        <v>171</v>
      </c>
    </row>
    <row r="79" spans="1:6" ht="14.4">
      <c r="A79" s="1" t="s">
        <v>172</v>
      </c>
      <c r="B79" s="1" t="s">
        <v>173</v>
      </c>
      <c r="C79" s="1" t="s">
        <v>6</v>
      </c>
      <c r="D79" s="5">
        <v>28992</v>
      </c>
      <c r="E79" s="3">
        <v>2022</v>
      </c>
      <c r="F79" s="6" t="s">
        <v>174</v>
      </c>
    </row>
    <row r="80" spans="1:6" ht="14.4">
      <c r="A80" s="1" t="s">
        <v>175</v>
      </c>
      <c r="B80" s="1" t="s">
        <v>176</v>
      </c>
      <c r="C80" s="1" t="s">
        <v>6</v>
      </c>
      <c r="D80" s="7">
        <v>7580000</v>
      </c>
      <c r="E80" s="1"/>
    </row>
    <row r="81" spans="1:5" ht="14.4">
      <c r="A81" s="1" t="s">
        <v>177</v>
      </c>
      <c r="B81" s="1" t="s">
        <v>178</v>
      </c>
      <c r="C81" s="1" t="s">
        <v>6</v>
      </c>
      <c r="D81" s="7">
        <v>77700</v>
      </c>
      <c r="E81" s="1"/>
    </row>
    <row r="82" spans="1:5" ht="14.4">
      <c r="A82" s="1" t="s">
        <v>179</v>
      </c>
      <c r="B82" s="1" t="s">
        <v>180</v>
      </c>
      <c r="C82" s="1" t="s">
        <v>6</v>
      </c>
      <c r="D82" s="7">
        <v>292000</v>
      </c>
      <c r="E82" s="1"/>
    </row>
    <row r="83" spans="1:5" ht="14.4">
      <c r="A83" s="1" t="s">
        <v>181</v>
      </c>
      <c r="B83" s="1" t="s">
        <v>182</v>
      </c>
      <c r="C83" s="1" t="s">
        <v>6</v>
      </c>
      <c r="D83" s="7">
        <v>3840000</v>
      </c>
      <c r="E83" s="1"/>
    </row>
    <row r="84" spans="1:5" ht="14.4">
      <c r="A84" s="1" t="s">
        <v>183</v>
      </c>
      <c r="B84" s="1" t="s">
        <v>184</v>
      </c>
      <c r="C84" s="1" t="s">
        <v>6</v>
      </c>
      <c r="D84" s="7">
        <v>4300000</v>
      </c>
      <c r="E84" s="1"/>
    </row>
    <row r="85" spans="1:5" ht="14.4">
      <c r="A85" s="1" t="s">
        <v>185</v>
      </c>
      <c r="B85" s="1" t="s">
        <v>186</v>
      </c>
      <c r="C85" s="1" t="s">
        <v>6</v>
      </c>
      <c r="D85" s="7">
        <v>1730000</v>
      </c>
      <c r="E85" s="1"/>
    </row>
    <row r="86" spans="1:5" ht="14.4">
      <c r="A86" s="1" t="s">
        <v>187</v>
      </c>
      <c r="B86" s="1" t="s">
        <v>188</v>
      </c>
      <c r="C86" s="1" t="s">
        <v>6</v>
      </c>
      <c r="D86" s="7">
        <v>5280000</v>
      </c>
      <c r="E86" s="1"/>
    </row>
    <row r="87" spans="1:5" ht="14.4">
      <c r="A87" s="1" t="s">
        <v>189</v>
      </c>
      <c r="B87" s="1" t="s">
        <v>190</v>
      </c>
      <c r="C87" s="1" t="s">
        <v>6</v>
      </c>
      <c r="D87" s="7">
        <v>4950000</v>
      </c>
      <c r="E87" s="1"/>
    </row>
    <row r="88" spans="1:5" ht="14.4">
      <c r="A88" s="1" t="s">
        <v>191</v>
      </c>
      <c r="B88" s="1" t="s">
        <v>192</v>
      </c>
      <c r="C88" s="1" t="s">
        <v>6</v>
      </c>
      <c r="D88" s="7">
        <v>143000000</v>
      </c>
      <c r="E88" s="1"/>
    </row>
    <row r="89" spans="1:5" ht="14.4">
      <c r="A89" s="1" t="s">
        <v>193</v>
      </c>
      <c r="B89" s="1" t="s">
        <v>194</v>
      </c>
      <c r="C89" s="1" t="s">
        <v>6</v>
      </c>
      <c r="D89" s="10">
        <v>36555</v>
      </c>
      <c r="E89" s="1" t="s">
        <v>467</v>
      </c>
    </row>
    <row r="90" spans="1:5" ht="14.4">
      <c r="A90" s="1" t="s">
        <v>195</v>
      </c>
      <c r="B90" s="1" t="s">
        <v>196</v>
      </c>
      <c r="C90" s="1" t="s">
        <v>6</v>
      </c>
      <c r="D90" s="7">
        <v>608000000</v>
      </c>
      <c r="E90" s="1"/>
    </row>
    <row r="91" spans="1:5" ht="14.4">
      <c r="A91" s="1" t="s">
        <v>197</v>
      </c>
      <c r="B91" s="1" t="s">
        <v>198</v>
      </c>
      <c r="C91" s="1" t="s">
        <v>6</v>
      </c>
      <c r="D91" s="7">
        <v>2860000</v>
      </c>
      <c r="E91" s="1"/>
    </row>
    <row r="92" spans="1:5" ht="14.4">
      <c r="A92" s="1" t="s">
        <v>199</v>
      </c>
      <c r="B92" s="1" t="s">
        <v>200</v>
      </c>
      <c r="C92" s="1" t="s">
        <v>6</v>
      </c>
      <c r="D92" s="7">
        <v>28600000</v>
      </c>
      <c r="E92" s="1"/>
    </row>
    <row r="93" spans="1:5" ht="14.4">
      <c r="A93" s="1" t="s">
        <v>201</v>
      </c>
      <c r="B93" s="1" t="s">
        <v>202</v>
      </c>
      <c r="C93" s="1" t="s">
        <v>6</v>
      </c>
      <c r="D93" s="7">
        <v>12000000</v>
      </c>
      <c r="E93" s="1"/>
    </row>
    <row r="94" spans="1:5" ht="14.4">
      <c r="A94" s="1" t="s">
        <v>203</v>
      </c>
      <c r="B94" s="1" t="s">
        <v>204</v>
      </c>
      <c r="C94" s="1" t="s">
        <v>6</v>
      </c>
      <c r="D94" s="7">
        <v>248000</v>
      </c>
      <c r="E94" s="1"/>
    </row>
    <row r="95" spans="1:5" ht="14.4">
      <c r="A95" s="1" t="s">
        <v>205</v>
      </c>
      <c r="B95" s="1" t="s">
        <v>206</v>
      </c>
      <c r="C95" s="1" t="s">
        <v>6</v>
      </c>
      <c r="D95" s="7">
        <v>4710000</v>
      </c>
      <c r="E95" s="1"/>
    </row>
    <row r="96" spans="1:5" ht="14.4">
      <c r="A96" s="1" t="s">
        <v>207</v>
      </c>
      <c r="B96" s="1" t="s">
        <v>208</v>
      </c>
      <c r="C96" s="1" t="s">
        <v>6</v>
      </c>
      <c r="D96" s="7">
        <v>25800000</v>
      </c>
      <c r="E96" s="1"/>
    </row>
    <row r="97" spans="1:6" ht="14.4">
      <c r="A97" s="1" t="s">
        <v>209</v>
      </c>
      <c r="B97" s="1" t="s">
        <v>210</v>
      </c>
      <c r="C97" s="1" t="s">
        <v>6</v>
      </c>
      <c r="D97" s="7">
        <v>1570000</v>
      </c>
      <c r="E97" s="1"/>
    </row>
    <row r="98" spans="1:6" ht="14.4">
      <c r="A98" s="1" t="s">
        <v>211</v>
      </c>
      <c r="B98" s="1" t="s">
        <v>212</v>
      </c>
      <c r="C98" s="1" t="s">
        <v>6</v>
      </c>
      <c r="D98" s="7">
        <v>3080000</v>
      </c>
      <c r="E98" s="1"/>
    </row>
    <row r="99" spans="1:6" ht="14.4">
      <c r="A99" s="1" t="s">
        <v>213</v>
      </c>
      <c r="B99" s="1" t="s">
        <v>214</v>
      </c>
      <c r="C99" s="1" t="s">
        <v>6</v>
      </c>
      <c r="D99" s="7">
        <v>69400000</v>
      </c>
      <c r="E99" s="1"/>
    </row>
    <row r="100" spans="1:6" ht="14.4">
      <c r="A100" s="1" t="s">
        <v>215</v>
      </c>
      <c r="B100" s="1" t="s">
        <v>216</v>
      </c>
      <c r="C100" s="1" t="s">
        <v>6</v>
      </c>
      <c r="D100" s="7">
        <v>10300000</v>
      </c>
      <c r="E100" s="1"/>
    </row>
    <row r="101" spans="1:6" ht="14.4">
      <c r="A101" s="1" t="s">
        <v>217</v>
      </c>
      <c r="B101" s="1" t="s">
        <v>218</v>
      </c>
      <c r="C101" s="1" t="s">
        <v>6</v>
      </c>
      <c r="D101" s="7">
        <v>23800000</v>
      </c>
      <c r="E101" s="1"/>
    </row>
    <row r="102" spans="1:6" ht="14.4">
      <c r="A102" s="1" t="s">
        <v>219</v>
      </c>
      <c r="B102" s="1" t="s">
        <v>220</v>
      </c>
      <c r="C102" s="1" t="s">
        <v>6</v>
      </c>
      <c r="D102" s="7">
        <v>3200000</v>
      </c>
      <c r="E102" s="1"/>
    </row>
    <row r="103" spans="1:6" ht="14.4">
      <c r="A103" s="1" t="s">
        <v>221</v>
      </c>
      <c r="B103" s="1" t="s">
        <v>222</v>
      </c>
      <c r="C103" s="1" t="s">
        <v>6</v>
      </c>
      <c r="D103" s="7">
        <v>9900000</v>
      </c>
      <c r="E103" s="1"/>
    </row>
    <row r="104" spans="1:6" ht="14.4">
      <c r="A104" s="1" t="s">
        <v>223</v>
      </c>
      <c r="B104" s="1" t="s">
        <v>224</v>
      </c>
      <c r="C104" s="1" t="s">
        <v>6</v>
      </c>
      <c r="D104" s="5">
        <v>40794</v>
      </c>
      <c r="E104" s="1"/>
      <c r="F104" s="6" t="s">
        <v>225</v>
      </c>
    </row>
    <row r="105" spans="1:6" ht="14.4">
      <c r="A105" s="1" t="s">
        <v>226</v>
      </c>
      <c r="B105" s="1" t="s">
        <v>227</v>
      </c>
      <c r="C105" s="1" t="s">
        <v>6</v>
      </c>
      <c r="D105" s="9">
        <v>21848</v>
      </c>
      <c r="E105" s="3">
        <v>2016</v>
      </c>
      <c r="F105" s="6" t="s">
        <v>228</v>
      </c>
    </row>
    <row r="106" spans="1:6" ht="14.4">
      <c r="A106" s="1" t="s">
        <v>229</v>
      </c>
      <c r="B106" s="1" t="s">
        <v>230</v>
      </c>
      <c r="C106" s="1" t="s">
        <v>6</v>
      </c>
      <c r="D106" s="7">
        <v>29700000</v>
      </c>
      <c r="E106" s="1"/>
    </row>
    <row r="107" spans="1:6" ht="14.4">
      <c r="A107" s="1" t="s">
        <v>231</v>
      </c>
      <c r="B107" s="1" t="s">
        <v>232</v>
      </c>
      <c r="C107" s="1" t="s">
        <v>6</v>
      </c>
      <c r="D107" s="7">
        <v>3000000</v>
      </c>
      <c r="E107" s="1"/>
    </row>
    <row r="108" spans="1:6" ht="14.4">
      <c r="A108" s="1" t="s">
        <v>233</v>
      </c>
      <c r="B108" s="1" t="s">
        <v>234</v>
      </c>
      <c r="C108" s="1" t="s">
        <v>6</v>
      </c>
      <c r="D108" s="7">
        <v>3580000</v>
      </c>
      <c r="E108" s="1"/>
    </row>
    <row r="109" spans="1:6" ht="14.4">
      <c r="A109" s="1" t="s">
        <v>235</v>
      </c>
      <c r="B109" s="1" t="s">
        <v>236</v>
      </c>
      <c r="C109" s="1" t="s">
        <v>6</v>
      </c>
      <c r="D109" s="5">
        <v>1940000</v>
      </c>
      <c r="E109" s="3">
        <v>2023</v>
      </c>
      <c r="F109" s="6" t="s">
        <v>237</v>
      </c>
    </row>
    <row r="110" spans="1:6" ht="14.4">
      <c r="A110" s="1" t="s">
        <v>238</v>
      </c>
      <c r="B110" s="1" t="s">
        <v>239</v>
      </c>
      <c r="C110" s="1" t="s">
        <v>6</v>
      </c>
      <c r="D110" s="7">
        <v>2610000</v>
      </c>
      <c r="E110" s="1"/>
    </row>
    <row r="111" spans="1:6" ht="14.4">
      <c r="A111" s="1" t="s">
        <v>240</v>
      </c>
      <c r="B111" s="1" t="s">
        <v>241</v>
      </c>
      <c r="C111" s="1" t="s">
        <v>6</v>
      </c>
      <c r="D111" s="7">
        <v>2580000</v>
      </c>
      <c r="E111" s="1"/>
    </row>
    <row r="112" spans="1:6" ht="14.4">
      <c r="A112" s="1" t="s">
        <v>242</v>
      </c>
      <c r="B112" s="1" t="s">
        <v>243</v>
      </c>
      <c r="C112" s="1" t="s">
        <v>6</v>
      </c>
      <c r="D112" s="7">
        <v>102000</v>
      </c>
      <c r="E112" s="1"/>
    </row>
    <row r="113" spans="1:6" ht="14.4">
      <c r="A113" s="1" t="s">
        <v>244</v>
      </c>
      <c r="B113" s="1" t="s">
        <v>245</v>
      </c>
      <c r="C113" s="1" t="s">
        <v>6</v>
      </c>
      <c r="D113" s="10">
        <v>20786</v>
      </c>
      <c r="E113" s="3">
        <v>2023</v>
      </c>
      <c r="F113" s="11" t="s">
        <v>246</v>
      </c>
    </row>
    <row r="114" spans="1:6" ht="14.4">
      <c r="A114" s="1" t="s">
        <v>247</v>
      </c>
      <c r="B114" s="1" t="s">
        <v>248</v>
      </c>
      <c r="C114" s="1" t="s">
        <v>6</v>
      </c>
      <c r="D114" s="7">
        <v>8500000</v>
      </c>
      <c r="E114" s="1"/>
    </row>
    <row r="115" spans="1:6" ht="14.4">
      <c r="A115" s="1" t="s">
        <v>249</v>
      </c>
      <c r="B115" s="1" t="s">
        <v>250</v>
      </c>
      <c r="C115" s="1" t="s">
        <v>6</v>
      </c>
      <c r="D115" s="7">
        <v>884000</v>
      </c>
      <c r="E115" s="1"/>
    </row>
    <row r="116" spans="1:6" ht="14.4">
      <c r="A116" s="1" t="s">
        <v>251</v>
      </c>
      <c r="B116" s="1" t="s">
        <v>252</v>
      </c>
      <c r="C116" s="1" t="s">
        <v>6</v>
      </c>
      <c r="D116" s="7">
        <v>1550000</v>
      </c>
      <c r="E116" s="1"/>
    </row>
    <row r="117" spans="1:6" ht="14.4">
      <c r="A117" s="1" t="s">
        <v>253</v>
      </c>
      <c r="B117" s="1" t="s">
        <v>254</v>
      </c>
      <c r="C117" s="1" t="s">
        <v>6</v>
      </c>
      <c r="D117" s="7">
        <v>350000</v>
      </c>
      <c r="E117" s="1"/>
    </row>
    <row r="118" spans="1:6" ht="14.4">
      <c r="A118" s="1" t="s">
        <v>255</v>
      </c>
      <c r="B118" s="1" t="s">
        <v>256</v>
      </c>
      <c r="C118" s="1" t="s">
        <v>6</v>
      </c>
      <c r="D118" s="7">
        <v>955000</v>
      </c>
      <c r="E118" s="1"/>
    </row>
    <row r="119" spans="1:6" ht="14.4">
      <c r="A119" s="1" t="s">
        <v>257</v>
      </c>
      <c r="B119" s="1" t="s">
        <v>258</v>
      </c>
      <c r="C119" s="1" t="s">
        <v>6</v>
      </c>
      <c r="D119" s="7">
        <v>382000</v>
      </c>
      <c r="E119" s="1"/>
    </row>
    <row r="120" spans="1:6" ht="14.4">
      <c r="A120" s="1" t="s">
        <v>259</v>
      </c>
      <c r="B120" s="1" t="s">
        <v>260</v>
      </c>
      <c r="C120" s="1" t="s">
        <v>6</v>
      </c>
      <c r="D120" s="1"/>
      <c r="E120" s="1"/>
    </row>
    <row r="121" spans="1:6" ht="14.4">
      <c r="A121" s="1" t="s">
        <v>261</v>
      </c>
      <c r="B121" s="1" t="s">
        <v>262</v>
      </c>
      <c r="C121" s="1" t="s">
        <v>6</v>
      </c>
      <c r="D121" s="7">
        <v>12500000</v>
      </c>
      <c r="E121" s="1"/>
    </row>
    <row r="122" spans="1:6" ht="14.4">
      <c r="A122" s="1" t="s">
        <v>263</v>
      </c>
      <c r="B122" s="1" t="s">
        <v>264</v>
      </c>
      <c r="C122" s="1" t="s">
        <v>6</v>
      </c>
      <c r="D122" s="10">
        <v>78364</v>
      </c>
      <c r="E122" s="1"/>
      <c r="F122" s="8" t="s">
        <v>265</v>
      </c>
    </row>
    <row r="123" spans="1:6" ht="14.4">
      <c r="A123" s="1" t="s">
        <v>266</v>
      </c>
      <c r="B123" s="1" t="s">
        <v>267</v>
      </c>
      <c r="C123" s="1" t="s">
        <v>6</v>
      </c>
      <c r="D123" s="7">
        <v>1360000</v>
      </c>
      <c r="E123" s="1"/>
    </row>
    <row r="124" spans="1:6" ht="14.4">
      <c r="A124" s="1" t="s">
        <v>268</v>
      </c>
      <c r="B124" s="1" t="s">
        <v>269</v>
      </c>
      <c r="C124" s="1" t="s">
        <v>6</v>
      </c>
      <c r="D124" s="7">
        <v>16500000</v>
      </c>
      <c r="E124" s="1"/>
    </row>
    <row r="125" spans="1:6" ht="14.4">
      <c r="A125" s="1" t="s">
        <v>270</v>
      </c>
      <c r="B125" s="1" t="s">
        <v>271</v>
      </c>
      <c r="C125" s="1" t="s">
        <v>6</v>
      </c>
      <c r="D125" s="7">
        <v>270000</v>
      </c>
      <c r="E125" s="1"/>
    </row>
    <row r="126" spans="1:6" ht="14.4">
      <c r="A126" s="1" t="s">
        <v>272</v>
      </c>
      <c r="B126" s="1" t="s">
        <v>273</v>
      </c>
      <c r="C126" s="1" t="s">
        <v>6</v>
      </c>
      <c r="D126" s="7">
        <v>61000000</v>
      </c>
      <c r="E126" s="1"/>
    </row>
    <row r="127" spans="1:6" ht="14.4">
      <c r="A127" s="1" t="s">
        <v>274</v>
      </c>
      <c r="B127" s="1" t="s">
        <v>275</v>
      </c>
      <c r="C127" s="1" t="s">
        <v>6</v>
      </c>
      <c r="D127" s="10">
        <f>28000*0.495</f>
        <v>13860</v>
      </c>
      <c r="E127" s="3">
        <v>2021</v>
      </c>
      <c r="F127" s="8" t="s">
        <v>276</v>
      </c>
    </row>
    <row r="128" spans="1:6" ht="14.4">
      <c r="A128" s="1" t="s">
        <v>277</v>
      </c>
      <c r="B128" s="1" t="s">
        <v>278</v>
      </c>
      <c r="C128" s="1" t="s">
        <v>6</v>
      </c>
      <c r="D128" s="7">
        <v>779000</v>
      </c>
      <c r="E128" s="1"/>
    </row>
    <row r="129" spans="1:6" ht="14.4">
      <c r="A129" s="1" t="s">
        <v>279</v>
      </c>
      <c r="B129" s="1" t="s">
        <v>280</v>
      </c>
      <c r="C129" s="1" t="s">
        <v>6</v>
      </c>
      <c r="D129" s="7">
        <v>9130000</v>
      </c>
      <c r="E129" s="1"/>
    </row>
    <row r="130" spans="1:6" ht="14.4">
      <c r="A130" s="1" t="s">
        <v>281</v>
      </c>
      <c r="B130" s="1" t="s">
        <v>282</v>
      </c>
      <c r="C130" s="1" t="s">
        <v>6</v>
      </c>
      <c r="D130" s="7">
        <v>318000</v>
      </c>
      <c r="E130" s="1"/>
    </row>
    <row r="131" spans="1:6" ht="14.4">
      <c r="A131" s="1" t="s">
        <v>283</v>
      </c>
      <c r="B131" s="1" t="s">
        <v>284</v>
      </c>
      <c r="C131" s="1" t="s">
        <v>6</v>
      </c>
      <c r="D131" s="7">
        <v>22700000</v>
      </c>
      <c r="E131" s="1"/>
    </row>
    <row r="132" spans="1:6" ht="14.4">
      <c r="A132" s="1" t="s">
        <v>285</v>
      </c>
      <c r="B132" s="1" t="s">
        <v>286</v>
      </c>
      <c r="C132" s="1" t="s">
        <v>6</v>
      </c>
      <c r="D132" s="7">
        <v>245000</v>
      </c>
      <c r="E132" s="1"/>
    </row>
    <row r="133" spans="1:6" ht="14.4">
      <c r="A133" s="1" t="s">
        <v>287</v>
      </c>
      <c r="B133" s="1" t="s">
        <v>288</v>
      </c>
      <c r="C133" s="1" t="s">
        <v>6</v>
      </c>
      <c r="D133" s="7">
        <v>1450000</v>
      </c>
      <c r="E133" s="1"/>
    </row>
    <row r="134" spans="1:6" ht="14.4">
      <c r="A134" s="1" t="s">
        <v>289</v>
      </c>
      <c r="B134" s="1" t="s">
        <v>290</v>
      </c>
      <c r="C134" s="1" t="s">
        <v>6</v>
      </c>
      <c r="D134" s="5">
        <v>23002</v>
      </c>
      <c r="E134" s="3">
        <v>2023</v>
      </c>
      <c r="F134" s="6" t="s">
        <v>291</v>
      </c>
    </row>
    <row r="135" spans="1:6" ht="14.4">
      <c r="A135" s="1" t="s">
        <v>292</v>
      </c>
      <c r="B135" s="1" t="s">
        <v>293</v>
      </c>
      <c r="C135" s="1" t="s">
        <v>6</v>
      </c>
      <c r="D135" s="7">
        <v>15200000</v>
      </c>
      <c r="E135" s="1"/>
    </row>
    <row r="136" spans="1:6" ht="14.4">
      <c r="A136" s="1" t="s">
        <v>294</v>
      </c>
      <c r="B136" s="1" t="s">
        <v>295</v>
      </c>
      <c r="C136" s="1" t="s">
        <v>6</v>
      </c>
      <c r="D136" s="7">
        <v>1210000</v>
      </c>
      <c r="E136" s="1"/>
    </row>
    <row r="137" spans="1:6" ht="14.4">
      <c r="A137" s="1" t="s">
        <v>296</v>
      </c>
      <c r="B137" s="1" t="s">
        <v>297</v>
      </c>
      <c r="C137" s="1" t="s">
        <v>6</v>
      </c>
      <c r="D137" s="7">
        <v>595000</v>
      </c>
      <c r="E137" s="1"/>
    </row>
    <row r="138" spans="1:6" ht="14.4">
      <c r="A138" s="1" t="s">
        <v>298</v>
      </c>
      <c r="B138" s="1" t="s">
        <v>299</v>
      </c>
      <c r="C138" s="1" t="s">
        <v>6</v>
      </c>
      <c r="D138" s="7">
        <v>8600000</v>
      </c>
      <c r="E138" s="1"/>
    </row>
    <row r="139" spans="1:6" ht="14.4">
      <c r="A139" s="1" t="s">
        <v>300</v>
      </c>
      <c r="B139" s="1" t="s">
        <v>301</v>
      </c>
      <c r="C139" s="1" t="s">
        <v>6</v>
      </c>
      <c r="D139" s="7">
        <v>18300000</v>
      </c>
      <c r="E139" s="1"/>
    </row>
    <row r="140" spans="1:6" ht="14.4">
      <c r="A140" s="1" t="s">
        <v>302</v>
      </c>
      <c r="B140" s="1" t="s">
        <v>303</v>
      </c>
      <c r="C140" s="1" t="s">
        <v>6</v>
      </c>
      <c r="D140" s="7">
        <v>1130000</v>
      </c>
      <c r="E140" s="1"/>
    </row>
    <row r="141" spans="1:6" ht="14.4">
      <c r="A141" s="1" t="s">
        <v>304</v>
      </c>
      <c r="B141" s="1" t="s">
        <v>305</v>
      </c>
      <c r="C141" s="1" t="s">
        <v>6</v>
      </c>
      <c r="D141" s="7">
        <v>131000</v>
      </c>
      <c r="E141" s="1"/>
    </row>
    <row r="142" spans="1:6" ht="14.4">
      <c r="A142" s="1" t="s">
        <v>306</v>
      </c>
      <c r="B142" s="1" t="s">
        <v>307</v>
      </c>
      <c r="C142" s="1" t="s">
        <v>6</v>
      </c>
      <c r="D142" s="7">
        <v>10500000</v>
      </c>
      <c r="E142" s="1"/>
    </row>
    <row r="143" spans="1:6" ht="14.4">
      <c r="A143" s="1" t="s">
        <v>308</v>
      </c>
      <c r="B143" s="1" t="s">
        <v>309</v>
      </c>
      <c r="C143" s="1" t="s">
        <v>6</v>
      </c>
      <c r="D143" s="7">
        <v>113000000</v>
      </c>
      <c r="E143" s="1"/>
    </row>
    <row r="144" spans="1:6" ht="14.4">
      <c r="A144" s="1" t="s">
        <v>310</v>
      </c>
      <c r="B144" s="1" t="s">
        <v>311</v>
      </c>
      <c r="C144" s="1" t="s">
        <v>6</v>
      </c>
      <c r="D144" s="7">
        <v>3220000</v>
      </c>
      <c r="E144" s="1"/>
    </row>
    <row r="145" spans="1:6" ht="14.4">
      <c r="A145" s="1" t="s">
        <v>312</v>
      </c>
      <c r="B145" s="1" t="s">
        <v>313</v>
      </c>
      <c r="C145" s="1" t="s">
        <v>6</v>
      </c>
      <c r="D145" s="7">
        <v>10300000</v>
      </c>
      <c r="E145" s="1"/>
    </row>
    <row r="146" spans="1:6" ht="14.4">
      <c r="A146" s="1" t="s">
        <v>314</v>
      </c>
      <c r="B146" s="1" t="s">
        <v>315</v>
      </c>
      <c r="C146" s="1" t="s">
        <v>6</v>
      </c>
      <c r="D146" s="7">
        <v>3040000</v>
      </c>
      <c r="E146" s="1"/>
    </row>
    <row r="147" spans="1:6" ht="14.4">
      <c r="A147" s="1" t="s">
        <v>316</v>
      </c>
      <c r="B147" s="1" t="s">
        <v>317</v>
      </c>
      <c r="C147" s="1" t="s">
        <v>6</v>
      </c>
      <c r="D147" s="7">
        <v>8440000</v>
      </c>
      <c r="E147" s="1"/>
    </row>
    <row r="148" spans="1:6" ht="14.4">
      <c r="A148" s="1" t="s">
        <v>318</v>
      </c>
      <c r="B148" s="1" t="s">
        <v>319</v>
      </c>
      <c r="C148" s="1" t="s">
        <v>6</v>
      </c>
      <c r="D148" s="5">
        <v>8000</v>
      </c>
      <c r="E148" s="1"/>
      <c r="F148" s="8" t="s">
        <v>320</v>
      </c>
    </row>
    <row r="149" spans="1:6" ht="14.4">
      <c r="A149" s="1" t="s">
        <v>321</v>
      </c>
      <c r="B149" s="1" t="s">
        <v>322</v>
      </c>
      <c r="C149" s="1" t="s">
        <v>6</v>
      </c>
      <c r="D149" s="7">
        <v>3120000</v>
      </c>
      <c r="E149" s="1"/>
    </row>
    <row r="150" spans="1:6" ht="14.4">
      <c r="A150" s="1" t="s">
        <v>323</v>
      </c>
      <c r="B150" s="1" t="s">
        <v>324</v>
      </c>
      <c r="C150" s="1" t="s">
        <v>6</v>
      </c>
      <c r="D150" s="7">
        <v>2700000</v>
      </c>
      <c r="E150" s="1"/>
    </row>
    <row r="151" spans="1:6" ht="14.4">
      <c r="A151" s="1" t="s">
        <v>325</v>
      </c>
      <c r="B151" s="1" t="s">
        <v>326</v>
      </c>
      <c r="C151" s="1" t="s">
        <v>6</v>
      </c>
      <c r="D151" s="7">
        <v>83600000</v>
      </c>
      <c r="E151" s="1"/>
    </row>
    <row r="152" spans="1:6" ht="14.4">
      <c r="A152" s="1" t="s">
        <v>327</v>
      </c>
      <c r="B152" s="1" t="s">
        <v>328</v>
      </c>
      <c r="C152" s="1" t="s">
        <v>6</v>
      </c>
      <c r="D152" s="7">
        <v>2210000</v>
      </c>
      <c r="E152" s="1"/>
    </row>
    <row r="153" spans="1:6" ht="14.4">
      <c r="A153" s="1" t="s">
        <v>329</v>
      </c>
      <c r="B153" s="1" t="s">
        <v>330</v>
      </c>
      <c r="C153" s="1" t="s">
        <v>6</v>
      </c>
      <c r="D153" s="7">
        <v>18900000</v>
      </c>
      <c r="E153" s="1"/>
    </row>
    <row r="154" spans="1:6" ht="14.4">
      <c r="A154" s="1" t="s">
        <v>331</v>
      </c>
      <c r="B154" s="1" t="s">
        <v>332</v>
      </c>
      <c r="C154" s="1" t="s">
        <v>6</v>
      </c>
      <c r="D154" s="7">
        <v>51000000</v>
      </c>
      <c r="E154" s="1"/>
    </row>
    <row r="155" spans="1:6" ht="14.4">
      <c r="A155" s="1" t="s">
        <v>333</v>
      </c>
      <c r="B155" s="1" t="s">
        <v>334</v>
      </c>
      <c r="C155" s="1" t="s">
        <v>6</v>
      </c>
      <c r="D155" s="5">
        <v>8000</v>
      </c>
      <c r="E155" s="1"/>
      <c r="F155" s="6" t="s">
        <v>335</v>
      </c>
    </row>
    <row r="156" spans="1:6" ht="14.4">
      <c r="A156" s="1" t="s">
        <v>336</v>
      </c>
      <c r="B156" s="1" t="s">
        <v>337</v>
      </c>
      <c r="C156" s="1" t="s">
        <v>6</v>
      </c>
      <c r="D156" s="7">
        <v>3660000</v>
      </c>
      <c r="E156" s="1"/>
    </row>
    <row r="157" spans="1:6" ht="14.4">
      <c r="A157" s="1" t="s">
        <v>338</v>
      </c>
      <c r="B157" s="1" t="s">
        <v>339</v>
      </c>
      <c r="C157" s="1" t="s">
        <v>6</v>
      </c>
      <c r="D157" s="7">
        <v>18200000</v>
      </c>
      <c r="E157" s="1"/>
    </row>
    <row r="158" spans="1:6" ht="14.4">
      <c r="A158" s="1" t="s">
        <v>340</v>
      </c>
      <c r="B158" s="1" t="s">
        <v>341</v>
      </c>
      <c r="C158" s="1" t="s">
        <v>6</v>
      </c>
      <c r="D158" s="7">
        <v>1150000</v>
      </c>
      <c r="E158" s="1"/>
    </row>
    <row r="159" spans="1:6" ht="14.4">
      <c r="A159" s="1" t="s">
        <v>342</v>
      </c>
      <c r="B159" s="1" t="s">
        <v>343</v>
      </c>
      <c r="C159" s="1" t="s">
        <v>6</v>
      </c>
      <c r="D159" s="7">
        <v>17600000</v>
      </c>
      <c r="E159" s="1"/>
    </row>
    <row r="160" spans="1:6" ht="14.4">
      <c r="A160" s="1" t="s">
        <v>344</v>
      </c>
      <c r="B160" s="1" t="s">
        <v>345</v>
      </c>
      <c r="C160" s="1" t="s">
        <v>6</v>
      </c>
      <c r="D160" s="7">
        <v>5460000</v>
      </c>
      <c r="E160" s="1"/>
    </row>
    <row r="161" spans="1:6" ht="14.4">
      <c r="A161" s="1" t="s">
        <v>346</v>
      </c>
      <c r="B161" s="1" t="s">
        <v>347</v>
      </c>
      <c r="C161" s="1" t="s">
        <v>6</v>
      </c>
      <c r="D161" s="7">
        <v>3500000</v>
      </c>
      <c r="E161" s="1"/>
    </row>
    <row r="162" spans="1:6" ht="14.4">
      <c r="A162" s="1" t="s">
        <v>471</v>
      </c>
      <c r="B162" s="1" t="s">
        <v>348</v>
      </c>
      <c r="C162" s="1" t="s">
        <v>6</v>
      </c>
      <c r="D162" s="1"/>
      <c r="E162" s="1"/>
    </row>
    <row r="163" spans="1:6" ht="14.4">
      <c r="A163" s="1" t="s">
        <v>349</v>
      </c>
      <c r="B163" s="1" t="s">
        <v>350</v>
      </c>
      <c r="C163" s="1" t="s">
        <v>6</v>
      </c>
      <c r="D163" s="7">
        <v>119000</v>
      </c>
      <c r="E163" s="1"/>
    </row>
    <row r="164" spans="1:6" ht="14.4">
      <c r="A164" s="1" t="s">
        <v>351</v>
      </c>
      <c r="B164" s="1" t="s">
        <v>352</v>
      </c>
      <c r="C164" s="1" t="s">
        <v>6</v>
      </c>
      <c r="D164" s="7">
        <v>2120000</v>
      </c>
      <c r="E164" s="1"/>
    </row>
    <row r="165" spans="1:6" ht="14.4">
      <c r="A165" s="1" t="s">
        <v>353</v>
      </c>
      <c r="B165" s="1" t="s">
        <v>354</v>
      </c>
      <c r="C165" s="1" t="s">
        <v>6</v>
      </c>
      <c r="D165" s="7">
        <v>8260000</v>
      </c>
      <c r="E165" s="1"/>
    </row>
    <row r="166" spans="1:6" ht="14.4">
      <c r="A166" s="1" t="s">
        <v>355</v>
      </c>
      <c r="B166" s="1" t="s">
        <v>356</v>
      </c>
      <c r="C166" s="1" t="s">
        <v>6</v>
      </c>
      <c r="D166" s="7">
        <v>72500000</v>
      </c>
      <c r="E166" s="1"/>
    </row>
    <row r="167" spans="1:6" ht="14.4">
      <c r="A167" s="1" t="s">
        <v>357</v>
      </c>
      <c r="B167" s="1" t="s">
        <v>358</v>
      </c>
      <c r="C167" s="1" t="s">
        <v>6</v>
      </c>
      <c r="D167" s="7">
        <v>5670000</v>
      </c>
      <c r="E167" s="1"/>
    </row>
    <row r="168" spans="1:6" ht="14.4">
      <c r="A168" s="1" t="s">
        <v>359</v>
      </c>
      <c r="B168" s="1" t="s">
        <v>360</v>
      </c>
      <c r="C168" s="1" t="s">
        <v>6</v>
      </c>
      <c r="D168" s="7">
        <v>17200000</v>
      </c>
      <c r="E168" s="1"/>
    </row>
    <row r="169" spans="1:6" ht="14.4">
      <c r="A169" s="1" t="s">
        <v>361</v>
      </c>
      <c r="B169" s="1" t="s">
        <v>362</v>
      </c>
      <c r="C169" s="1" t="s">
        <v>6</v>
      </c>
      <c r="D169" s="5">
        <v>13060000</v>
      </c>
      <c r="E169" s="1"/>
      <c r="F169" s="6" t="s">
        <v>363</v>
      </c>
    </row>
    <row r="170" spans="1:6" ht="14.4">
      <c r="A170" s="1" t="s">
        <v>364</v>
      </c>
      <c r="B170" s="1" t="s">
        <v>365</v>
      </c>
      <c r="C170" s="1" t="s">
        <v>6</v>
      </c>
      <c r="D170" s="7">
        <v>5760000</v>
      </c>
      <c r="E170" s="1"/>
    </row>
    <row r="171" spans="1:6" ht="14.4">
      <c r="A171" s="1" t="s">
        <v>366</v>
      </c>
      <c r="B171" s="1" t="s">
        <v>367</v>
      </c>
      <c r="C171" s="1" t="s">
        <v>6</v>
      </c>
      <c r="D171" s="7">
        <v>3720000</v>
      </c>
      <c r="E171" s="1"/>
    </row>
    <row r="172" spans="1:6" ht="14.4">
      <c r="A172" s="1" t="s">
        <v>368</v>
      </c>
      <c r="B172" s="1" t="s">
        <v>369</v>
      </c>
      <c r="C172" s="1" t="s">
        <v>6</v>
      </c>
      <c r="D172" s="7">
        <v>436000</v>
      </c>
      <c r="E172" s="1"/>
    </row>
    <row r="173" spans="1:6" ht="14.4">
      <c r="A173" s="1" t="s">
        <v>370</v>
      </c>
      <c r="B173" s="1" t="s">
        <v>371</v>
      </c>
      <c r="C173" s="1" t="s">
        <v>6</v>
      </c>
      <c r="D173" s="7">
        <v>2860000</v>
      </c>
      <c r="E173" s="1"/>
    </row>
    <row r="174" spans="1:6" ht="14.4">
      <c r="A174" s="1" t="s">
        <v>372</v>
      </c>
      <c r="B174" s="1" t="s">
        <v>373</v>
      </c>
      <c r="C174" s="1" t="s">
        <v>6</v>
      </c>
      <c r="D174" s="7">
        <v>2890000</v>
      </c>
      <c r="E174" s="1"/>
    </row>
    <row r="175" spans="1:6" ht="14.4">
      <c r="A175" s="1" t="s">
        <v>374</v>
      </c>
      <c r="B175" s="1" t="s">
        <v>375</v>
      </c>
      <c r="C175" s="1" t="s">
        <v>6</v>
      </c>
      <c r="D175" s="5">
        <v>15554</v>
      </c>
      <c r="F175" s="6" t="s">
        <v>376</v>
      </c>
    </row>
    <row r="176" spans="1:6" ht="14.4">
      <c r="A176" s="1" t="s">
        <v>377</v>
      </c>
      <c r="B176" s="1" t="s">
        <v>378</v>
      </c>
      <c r="C176" s="1" t="s">
        <v>6</v>
      </c>
      <c r="D176" s="7">
        <v>3440000</v>
      </c>
      <c r="E176" s="1"/>
    </row>
    <row r="177" spans="1:6" ht="14.4">
      <c r="A177" s="1" t="s">
        <v>379</v>
      </c>
      <c r="B177" s="1" t="s">
        <v>380</v>
      </c>
      <c r="C177" s="1" t="s">
        <v>6</v>
      </c>
      <c r="D177" s="7">
        <v>3230000</v>
      </c>
      <c r="E177" s="1"/>
    </row>
    <row r="178" spans="1:6" ht="14.4">
      <c r="A178" s="1" t="s">
        <v>381</v>
      </c>
      <c r="B178" s="1" t="s">
        <v>382</v>
      </c>
      <c r="C178" s="1" t="s">
        <v>6</v>
      </c>
      <c r="D178" s="5">
        <v>5303000</v>
      </c>
      <c r="E178" s="3">
        <v>-2023</v>
      </c>
      <c r="F178" s="6" t="s">
        <v>383</v>
      </c>
    </row>
    <row r="179" spans="1:6" ht="14.4">
      <c r="A179" s="1" t="s">
        <v>384</v>
      </c>
      <c r="B179" s="1" t="s">
        <v>385</v>
      </c>
      <c r="C179" s="1" t="s">
        <v>6</v>
      </c>
      <c r="D179" s="7">
        <v>34500</v>
      </c>
      <c r="E179" s="1"/>
    </row>
    <row r="180" spans="1:6" ht="14.4">
      <c r="A180" s="1" t="s">
        <v>386</v>
      </c>
      <c r="B180" s="1" t="s">
        <v>387</v>
      </c>
      <c r="C180" s="1" t="s">
        <v>6</v>
      </c>
      <c r="D180" s="7">
        <v>255000</v>
      </c>
      <c r="E180" s="1"/>
    </row>
    <row r="181" spans="1:6" ht="14.4">
      <c r="A181" s="1" t="s">
        <v>388</v>
      </c>
      <c r="B181" s="1" t="s">
        <v>389</v>
      </c>
      <c r="C181" s="1" t="s">
        <v>6</v>
      </c>
      <c r="D181" s="7">
        <v>2780000</v>
      </c>
      <c r="E181" s="1"/>
    </row>
    <row r="182" spans="1:6" ht="14.4">
      <c r="A182" s="1" t="s">
        <v>390</v>
      </c>
      <c r="B182" s="1" t="s">
        <v>391</v>
      </c>
      <c r="C182" s="1" t="s">
        <v>6</v>
      </c>
      <c r="D182" s="7">
        <v>1060000</v>
      </c>
      <c r="E182" s="1"/>
    </row>
    <row r="183" spans="1:6" ht="14.4">
      <c r="A183" s="1" t="s">
        <v>392</v>
      </c>
      <c r="B183" s="1" t="s">
        <v>393</v>
      </c>
      <c r="C183" s="1" t="s">
        <v>6</v>
      </c>
      <c r="D183" s="7">
        <v>5700000</v>
      </c>
      <c r="E183" s="1"/>
    </row>
    <row r="184" spans="1:6" ht="14.4">
      <c r="A184" s="1" t="s">
        <v>394</v>
      </c>
      <c r="B184" s="1" t="s">
        <v>395</v>
      </c>
      <c r="C184" s="1" t="s">
        <v>6</v>
      </c>
      <c r="D184" s="7">
        <v>391000</v>
      </c>
      <c r="E184" s="1"/>
    </row>
    <row r="185" spans="1:6" ht="14.4">
      <c r="A185" s="1" t="s">
        <v>396</v>
      </c>
      <c r="B185" s="1" t="s">
        <v>397</v>
      </c>
      <c r="C185" s="1" t="s">
        <v>6</v>
      </c>
      <c r="D185" s="13">
        <v>23200</v>
      </c>
      <c r="E185" s="1"/>
    </row>
    <row r="186" spans="1:6" ht="14.4">
      <c r="A186" s="1" t="s">
        <v>398</v>
      </c>
      <c r="B186" s="1" t="s">
        <v>399</v>
      </c>
      <c r="C186" s="1" t="s">
        <v>6</v>
      </c>
      <c r="D186" s="5">
        <v>100000</v>
      </c>
      <c r="E186" s="1"/>
      <c r="F186" s="6" t="s">
        <v>400</v>
      </c>
    </row>
    <row r="187" spans="1:6" ht="14.4">
      <c r="A187" s="1" t="s">
        <v>401</v>
      </c>
      <c r="B187" s="1" t="s">
        <v>402</v>
      </c>
      <c r="C187" s="1" t="s">
        <v>6</v>
      </c>
      <c r="D187" s="7">
        <v>6620000</v>
      </c>
      <c r="E187" s="1"/>
    </row>
    <row r="188" spans="1:6" ht="14.4">
      <c r="A188" s="3" t="s">
        <v>403</v>
      </c>
      <c r="B188" s="1" t="s">
        <v>404</v>
      </c>
      <c r="C188" s="1" t="s">
        <v>6</v>
      </c>
      <c r="D188" s="1"/>
      <c r="E188" s="1"/>
      <c r="F188" s="6" t="s">
        <v>405</v>
      </c>
    </row>
    <row r="189" spans="1:6" ht="14.4">
      <c r="A189" s="1" t="s">
        <v>406</v>
      </c>
      <c r="B189" s="1" t="s">
        <v>407</v>
      </c>
      <c r="C189" s="1" t="s">
        <v>6</v>
      </c>
      <c r="D189" s="7">
        <v>6600000</v>
      </c>
      <c r="E189" s="1"/>
    </row>
    <row r="190" spans="1:6" ht="14.4">
      <c r="A190" s="1" t="s">
        <v>408</v>
      </c>
      <c r="B190" s="1" t="s">
        <v>409</v>
      </c>
      <c r="C190" s="1" t="s">
        <v>6</v>
      </c>
      <c r="D190" s="7">
        <v>3340000</v>
      </c>
      <c r="E190" s="1"/>
    </row>
    <row r="191" spans="1:6" ht="14.4">
      <c r="A191" s="1" t="s">
        <v>410</v>
      </c>
      <c r="B191" s="1" t="s">
        <v>411</v>
      </c>
      <c r="C191" s="1" t="s">
        <v>6</v>
      </c>
      <c r="D191" s="7">
        <v>40600000</v>
      </c>
      <c r="E191" s="1"/>
    </row>
    <row r="192" spans="1:6" ht="14.4">
      <c r="A192" s="1" t="s">
        <v>412</v>
      </c>
      <c r="B192" s="1" t="s">
        <v>413</v>
      </c>
      <c r="C192" s="1" t="s">
        <v>6</v>
      </c>
      <c r="D192" s="7">
        <v>2780000</v>
      </c>
      <c r="E192" s="1"/>
    </row>
    <row r="193" spans="1:6" ht="14.4">
      <c r="A193" s="1" t="s">
        <v>414</v>
      </c>
      <c r="B193" s="1" t="s">
        <v>415</v>
      </c>
      <c r="C193" s="1" t="s">
        <v>6</v>
      </c>
      <c r="D193" s="7">
        <v>2440000</v>
      </c>
      <c r="E193" s="1"/>
    </row>
    <row r="194" spans="1:6" ht="14.4">
      <c r="A194" s="1" t="s">
        <v>416</v>
      </c>
      <c r="B194" s="1" t="s">
        <v>417</v>
      </c>
      <c r="C194" s="1" t="s">
        <v>6</v>
      </c>
      <c r="D194" s="7">
        <v>616000</v>
      </c>
      <c r="E194" s="1"/>
    </row>
    <row r="195" spans="1:6" ht="14.4">
      <c r="A195" s="1" t="s">
        <v>418</v>
      </c>
      <c r="B195" s="1" t="s">
        <v>419</v>
      </c>
      <c r="C195" s="1" t="s">
        <v>6</v>
      </c>
      <c r="D195" s="7">
        <v>34800</v>
      </c>
      <c r="E195" s="1"/>
    </row>
    <row r="196" spans="1:6" ht="14.4">
      <c r="A196" s="1" t="s">
        <v>420</v>
      </c>
      <c r="B196" s="1" t="s">
        <v>421</v>
      </c>
      <c r="C196" s="1" t="s">
        <v>6</v>
      </c>
      <c r="D196" s="7">
        <v>650000</v>
      </c>
      <c r="E196" s="1"/>
    </row>
    <row r="197" spans="1:6" ht="14.4">
      <c r="A197" s="1" t="s">
        <v>422</v>
      </c>
      <c r="B197" s="1" t="s">
        <v>423</v>
      </c>
      <c r="C197" s="1" t="s">
        <v>6</v>
      </c>
      <c r="D197" s="7">
        <v>4250000</v>
      </c>
      <c r="E197" s="1"/>
    </row>
    <row r="198" spans="1:6" ht="14.4">
      <c r="A198" s="1" t="s">
        <v>470</v>
      </c>
      <c r="B198" s="1" t="s">
        <v>424</v>
      </c>
      <c r="C198" s="1" t="s">
        <v>6</v>
      </c>
      <c r="D198" s="7">
        <v>36100000</v>
      </c>
      <c r="E198" s="1"/>
    </row>
    <row r="199" spans="1:6" ht="14.4">
      <c r="A199" s="1" t="s">
        <v>425</v>
      </c>
      <c r="B199" s="1" t="s">
        <v>426</v>
      </c>
      <c r="C199" s="1" t="s">
        <v>6</v>
      </c>
      <c r="D199" s="5">
        <v>9646</v>
      </c>
      <c r="E199" s="1"/>
      <c r="F199" s="6" t="s">
        <v>427</v>
      </c>
    </row>
    <row r="200" spans="1:6" ht="14.4">
      <c r="A200" s="1" t="s">
        <v>428</v>
      </c>
      <c r="B200" s="1" t="s">
        <v>429</v>
      </c>
      <c r="C200" s="1" t="s">
        <v>6</v>
      </c>
      <c r="D200" s="7">
        <v>33000000</v>
      </c>
      <c r="E200" s="1"/>
    </row>
    <row r="201" spans="1:6" ht="14.4">
      <c r="A201" s="1" t="s">
        <v>430</v>
      </c>
      <c r="B201" s="1" t="s">
        <v>431</v>
      </c>
      <c r="C201" s="1" t="s">
        <v>6</v>
      </c>
      <c r="D201" s="7">
        <v>22800000</v>
      </c>
      <c r="E201" s="1"/>
    </row>
    <row r="202" spans="1:6" ht="14.4">
      <c r="A202" s="1" t="s">
        <v>432</v>
      </c>
      <c r="B202" s="1" t="s">
        <v>433</v>
      </c>
      <c r="C202" s="1" t="s">
        <v>6</v>
      </c>
      <c r="D202" s="10">
        <f>37860000*0.6614</f>
        <v>25040604</v>
      </c>
      <c r="E202" s="1"/>
      <c r="F202" s="6" t="s">
        <v>434</v>
      </c>
    </row>
    <row r="203" spans="1:6" ht="14.4">
      <c r="A203" s="1" t="s">
        <v>435</v>
      </c>
      <c r="B203" s="1" t="s">
        <v>436</v>
      </c>
      <c r="C203" s="1" t="s">
        <v>6</v>
      </c>
      <c r="D203" s="7">
        <v>1770000</v>
      </c>
      <c r="E203" s="1"/>
    </row>
    <row r="204" spans="1:6" ht="14.4">
      <c r="A204" s="1" t="s">
        <v>437</v>
      </c>
      <c r="B204" s="1" t="s">
        <v>438</v>
      </c>
      <c r="C204" s="1" t="s">
        <v>6</v>
      </c>
      <c r="D204" s="7">
        <v>174000000</v>
      </c>
      <c r="E204" s="1"/>
    </row>
    <row r="205" spans="1:6" ht="14.4">
      <c r="A205" s="1" t="s">
        <v>439</v>
      </c>
      <c r="B205" s="1" t="s">
        <v>440</v>
      </c>
      <c r="C205" s="1" t="s">
        <v>6</v>
      </c>
      <c r="D205" s="7">
        <v>14000000</v>
      </c>
      <c r="E205" s="1"/>
    </row>
    <row r="206" spans="1:6" ht="14.4">
      <c r="A206" s="1" t="s">
        <v>441</v>
      </c>
      <c r="B206" s="1" t="s">
        <v>442</v>
      </c>
      <c r="C206" s="1" t="s">
        <v>6</v>
      </c>
      <c r="D206" s="7">
        <v>52100</v>
      </c>
      <c r="E206" s="1"/>
    </row>
    <row r="207" spans="1:6" ht="14.4">
      <c r="A207" s="1" t="s">
        <v>443</v>
      </c>
      <c r="B207" s="1" t="s">
        <v>444</v>
      </c>
      <c r="C207" s="1" t="s">
        <v>6</v>
      </c>
      <c r="D207" s="7">
        <v>11100000</v>
      </c>
      <c r="E207" s="1"/>
    </row>
    <row r="208" spans="1:6" ht="14.4">
      <c r="A208" s="1" t="s">
        <v>445</v>
      </c>
      <c r="B208" s="1" t="s">
        <v>446</v>
      </c>
      <c r="C208" s="1" t="s">
        <v>6</v>
      </c>
      <c r="D208" s="5">
        <v>22000</v>
      </c>
      <c r="E208" s="1"/>
      <c r="F208" s="6" t="s">
        <v>447</v>
      </c>
    </row>
    <row r="209" spans="1:6" ht="14.4">
      <c r="A209" s="1" t="s">
        <v>448</v>
      </c>
      <c r="B209" s="1" t="s">
        <v>449</v>
      </c>
      <c r="C209" s="1" t="s">
        <v>6</v>
      </c>
      <c r="D209" s="7">
        <v>47200</v>
      </c>
      <c r="E209" s="1"/>
    </row>
    <row r="210" spans="1:6" ht="14.4">
      <c r="A210" s="1" t="s">
        <v>450</v>
      </c>
      <c r="B210" s="1" t="s">
        <v>451</v>
      </c>
      <c r="C210" s="1" t="s">
        <v>6</v>
      </c>
      <c r="D210" s="7">
        <v>57100000</v>
      </c>
      <c r="E210" s="1"/>
    </row>
    <row r="211" spans="1:6" ht="14.4">
      <c r="A211" s="1" t="s">
        <v>452</v>
      </c>
      <c r="B211" s="1" t="s">
        <v>453</v>
      </c>
      <c r="C211" s="1" t="s">
        <v>6</v>
      </c>
      <c r="D211" s="7">
        <v>118000</v>
      </c>
      <c r="E211" s="1"/>
    </row>
    <row r="212" spans="1:6" ht="14.4">
      <c r="A212" s="1" t="s">
        <v>454</v>
      </c>
      <c r="B212" s="1" t="s">
        <v>455</v>
      </c>
      <c r="C212" s="1" t="s">
        <v>6</v>
      </c>
      <c r="D212" s="7">
        <v>57200</v>
      </c>
      <c r="E212" s="1"/>
    </row>
    <row r="213" spans="1:6" ht="14.4">
      <c r="A213" s="1" t="s">
        <v>456</v>
      </c>
      <c r="B213" s="1" t="s">
        <v>457</v>
      </c>
      <c r="C213" s="1" t="s">
        <v>6</v>
      </c>
      <c r="D213" s="5">
        <v>464567</v>
      </c>
      <c r="E213" s="1"/>
      <c r="F213" s="6" t="s">
        <v>458</v>
      </c>
    </row>
    <row r="214" spans="1:6" ht="14.4">
      <c r="A214" s="1" t="s">
        <v>459</v>
      </c>
      <c r="B214" s="1" t="s">
        <v>460</v>
      </c>
      <c r="C214" s="1" t="s">
        <v>6</v>
      </c>
      <c r="D214" s="7">
        <v>7850000</v>
      </c>
      <c r="E214" s="1"/>
    </row>
    <row r="215" spans="1:6" ht="14.4">
      <c r="A215" s="1" t="s">
        <v>461</v>
      </c>
      <c r="B215" s="1" t="s">
        <v>462</v>
      </c>
      <c r="C215" s="1" t="s">
        <v>6</v>
      </c>
      <c r="D215" s="7">
        <v>27800000</v>
      </c>
      <c r="E215" s="1"/>
    </row>
    <row r="216" spans="1:6" ht="14.4">
      <c r="A216" s="1" t="s">
        <v>463</v>
      </c>
      <c r="B216" s="1" t="s">
        <v>464</v>
      </c>
      <c r="C216" s="1" t="s">
        <v>6</v>
      </c>
      <c r="D216" s="7">
        <v>7410000</v>
      </c>
      <c r="E216" s="1"/>
    </row>
    <row r="217" spans="1:6" ht="14.4">
      <c r="A217" s="1" t="s">
        <v>465</v>
      </c>
      <c r="B217" s="1" t="s">
        <v>466</v>
      </c>
      <c r="C217" s="1" t="s">
        <v>6</v>
      </c>
      <c r="D217" s="7">
        <v>6390000</v>
      </c>
      <c r="E217" s="1"/>
    </row>
    <row r="219" spans="1:6" ht="15.85" customHeight="1">
      <c r="D219" s="12"/>
    </row>
  </sheetData>
  <hyperlinks>
    <hyperlink ref="F2" r:id="rId1" xr:uid="{00000000-0004-0000-0000-000001000000}"/>
    <hyperlink ref="F6" r:id="rId2" xr:uid="{00000000-0004-0000-0000-000006000000}"/>
    <hyperlink ref="F10" r:id="rId3" xr:uid="{00000000-0004-0000-0000-00000B000000}"/>
    <hyperlink ref="F11" r:id="rId4" xr:uid="{00000000-0004-0000-0000-00000D000000}"/>
    <hyperlink ref="F26" r:id="rId5" xr:uid="{00000000-0004-0000-0000-00001D000000}"/>
    <hyperlink ref="F47" r:id="rId6" xr:uid="{00000000-0004-0000-0000-000034000000}"/>
    <hyperlink ref="F48" r:id="rId7" xr:uid="{00000000-0004-0000-0000-000036000000}"/>
    <hyperlink ref="F53" r:id="rId8" xr:uid="{00000000-0004-0000-0000-00003C000000}"/>
    <hyperlink ref="F66" r:id="rId9" xr:uid="{00000000-0004-0000-0000-00004A000000}"/>
    <hyperlink ref="F67" r:id="rId10" xr:uid="{00000000-0004-0000-0000-00004C000000}"/>
    <hyperlink ref="F72" r:id="rId11" xr:uid="{00000000-0004-0000-0000-000052000000}"/>
    <hyperlink ref="F78" r:id="rId12" xr:uid="{00000000-0004-0000-0000-000059000000}"/>
    <hyperlink ref="F79" r:id="rId13" xr:uid="{00000000-0004-0000-0000-00005B000000}"/>
    <hyperlink ref="F104" r:id="rId14" xr:uid="{00000000-0004-0000-0000-000075000000}"/>
    <hyperlink ref="F105" r:id="rId15" xr:uid="{00000000-0004-0000-0000-000077000000}"/>
    <hyperlink ref="F109" r:id="rId16" xr:uid="{00000000-0004-0000-0000-00007C000000}"/>
    <hyperlink ref="F122" r:id="rId17" xr:uid="{00000000-0004-0000-0000-00008A000000}"/>
    <hyperlink ref="F127" r:id="rId18" xr:uid="{00000000-0004-0000-0000-000090000000}"/>
    <hyperlink ref="F134" r:id="rId19" xr:uid="{00000000-0004-0000-0000-000098000000}"/>
    <hyperlink ref="F148" r:id="rId20" xr:uid="{00000000-0004-0000-0000-0000A7000000}"/>
    <hyperlink ref="F155" r:id="rId21" xr:uid="{00000000-0004-0000-0000-0000AF000000}"/>
    <hyperlink ref="F169" r:id="rId22" xr:uid="{00000000-0004-0000-0000-0000BE000000}"/>
    <hyperlink ref="F175" r:id="rId23" xr:uid="{00000000-0004-0000-0000-0000C5000000}"/>
    <hyperlink ref="F178" r:id="rId24" xr:uid="{00000000-0004-0000-0000-0000C9000000}"/>
    <hyperlink ref="F186" r:id="rId25" xr:uid="{00000000-0004-0000-0000-0000D2000000}"/>
    <hyperlink ref="F188" r:id="rId26" xr:uid="{00000000-0004-0000-0000-0000D5000000}"/>
    <hyperlink ref="F199" r:id="rId27" xr:uid="{00000000-0004-0000-0000-0000E1000000}"/>
    <hyperlink ref="F202" r:id="rId28" xr:uid="{00000000-0004-0000-0000-0000E5000000}"/>
    <hyperlink ref="F208" r:id="rId29" xr:uid="{00000000-0004-0000-0000-0000EC000000}"/>
    <hyperlink ref="F213" r:id="rId30" xr:uid="{00000000-0004-0000-0000-0000F2000000}"/>
  </hyperlinks>
  <pageMargins left="0.7" right="0.7" top="0.75" bottom="0.75" header="0.3" footer="0.3"/>
  <pageSetup paperSize="9" orientation="portrait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 Seabrook</cp:lastModifiedBy>
  <dcterms:modified xsi:type="dcterms:W3CDTF">2025-09-16T06:19:29Z</dcterms:modified>
</cp:coreProperties>
</file>